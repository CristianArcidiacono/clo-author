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cristianarcidiacono/Library/CloudStorage/Dropbox/Job_Market_2026_27/"/>
    </mc:Choice>
  </mc:AlternateContent>
  <xr:revisionPtr revIDLastSave="0" documentId="8_{0C7CBC51-3CDD-B942-9C28-BF98F048A4D0}" xr6:coauthVersionLast="47" xr6:coauthVersionMax="47" xr10:uidLastSave="{00000000-0000-0000-0000-000000000000}"/>
  <bookViews>
    <workbookView xWindow="0" yWindow="660" windowWidth="30240" windowHeight="18980" tabRatio="500" xr2:uid="{00000000-000D-0000-FFFF-FFFF00000000}"/>
  </bookViews>
  <sheets>
    <sheet name="Applications" sheetId="1" r:id="rId1"/>
    <sheet name="By referee" sheetId="2" r:id="rId2"/>
    <sheet name="How to submit" sheetId="3" r:id="rId3"/>
  </sheets>
  <definedNames>
    <definedName name="_xlnm._FilterDatabase" localSheetId="0" hidden="1">Applications!$A$4:$R$88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88" i="1" l="1"/>
  <c r="H88" i="1"/>
  <c r="P87" i="1"/>
  <c r="H87" i="1"/>
  <c r="P86" i="1"/>
  <c r="H86" i="1"/>
  <c r="P85" i="1"/>
  <c r="H85" i="1"/>
  <c r="P84" i="1"/>
  <c r="H84" i="1"/>
  <c r="P83" i="1"/>
  <c r="H83" i="1"/>
  <c r="P82" i="1"/>
  <c r="H82" i="1"/>
  <c r="P81" i="1"/>
  <c r="H81" i="1"/>
  <c r="P80" i="1"/>
  <c r="H80" i="1"/>
  <c r="P79" i="1"/>
  <c r="H79" i="1"/>
  <c r="P78" i="1"/>
  <c r="H78" i="1"/>
  <c r="P77" i="1"/>
  <c r="H77" i="1"/>
  <c r="P76" i="1"/>
  <c r="H76" i="1"/>
  <c r="P75" i="1"/>
  <c r="H75" i="1"/>
  <c r="P74" i="1"/>
  <c r="H74" i="1"/>
  <c r="P73" i="1"/>
  <c r="H73" i="1"/>
  <c r="P72" i="1"/>
  <c r="H72" i="1"/>
  <c r="P71" i="1"/>
  <c r="H71" i="1"/>
  <c r="P70" i="1"/>
  <c r="H70" i="1"/>
  <c r="P69" i="1"/>
  <c r="H69" i="1"/>
  <c r="P68" i="1"/>
  <c r="H68" i="1"/>
  <c r="P67" i="1"/>
  <c r="H67" i="1"/>
  <c r="P66" i="1"/>
  <c r="H66" i="1"/>
  <c r="P65" i="1"/>
  <c r="H65" i="1"/>
  <c r="P64" i="1"/>
  <c r="H64" i="1"/>
  <c r="P63" i="1"/>
  <c r="H63" i="1"/>
  <c r="P62" i="1"/>
  <c r="H62" i="1"/>
  <c r="P61" i="1"/>
  <c r="H61" i="1"/>
  <c r="P60" i="1"/>
  <c r="H60" i="1"/>
  <c r="P59" i="1"/>
  <c r="H59" i="1"/>
  <c r="P58" i="1"/>
  <c r="H58" i="1"/>
  <c r="P57" i="1"/>
  <c r="H57" i="1"/>
  <c r="P56" i="1"/>
  <c r="H56" i="1"/>
  <c r="P55" i="1"/>
  <c r="H55" i="1"/>
  <c r="P54" i="1"/>
  <c r="H54" i="1"/>
  <c r="P53" i="1"/>
  <c r="H53" i="1"/>
  <c r="P52" i="1"/>
  <c r="H52" i="1"/>
  <c r="P51" i="1"/>
  <c r="H51" i="1"/>
  <c r="P50" i="1"/>
  <c r="H50" i="1"/>
  <c r="P49" i="1"/>
  <c r="H49" i="1"/>
  <c r="P48" i="1"/>
  <c r="H48" i="1"/>
  <c r="P47" i="1"/>
  <c r="H47" i="1"/>
  <c r="P46" i="1"/>
  <c r="H46" i="1"/>
  <c r="P45" i="1"/>
  <c r="H45" i="1"/>
  <c r="P44" i="1"/>
  <c r="H44" i="1"/>
  <c r="P43" i="1"/>
  <c r="H43" i="1"/>
  <c r="P42" i="1"/>
  <c r="H42" i="1"/>
  <c r="P41" i="1"/>
  <c r="H41" i="1"/>
  <c r="P40" i="1"/>
  <c r="H40" i="1"/>
  <c r="P39" i="1"/>
  <c r="H39" i="1"/>
  <c r="P38" i="1"/>
  <c r="H38" i="1"/>
  <c r="P37" i="1"/>
  <c r="H37" i="1"/>
  <c r="P36" i="1"/>
  <c r="H36" i="1"/>
  <c r="P35" i="1"/>
  <c r="H35" i="1"/>
  <c r="P34" i="1"/>
  <c r="H34" i="1"/>
  <c r="P33" i="1"/>
  <c r="H33" i="1"/>
  <c r="P32" i="1"/>
  <c r="H32" i="1"/>
  <c r="P31" i="1"/>
  <c r="H31" i="1"/>
  <c r="P30" i="1"/>
  <c r="H30" i="1"/>
  <c r="P29" i="1"/>
  <c r="H29" i="1"/>
  <c r="P28" i="1"/>
  <c r="H28" i="1"/>
  <c r="P27" i="1"/>
  <c r="H27" i="1"/>
  <c r="P26" i="1"/>
  <c r="H26" i="1"/>
  <c r="P25" i="1"/>
  <c r="H25" i="1"/>
  <c r="P24" i="1"/>
  <c r="H24" i="1"/>
  <c r="P23" i="1"/>
  <c r="H23" i="1"/>
  <c r="P22" i="1"/>
  <c r="H22" i="1"/>
  <c r="P21" i="1"/>
  <c r="H21" i="1"/>
  <c r="P20" i="1"/>
  <c r="H20" i="1"/>
  <c r="P19" i="1"/>
  <c r="H19" i="1"/>
  <c r="P18" i="1"/>
  <c r="H18" i="1"/>
  <c r="P17" i="1"/>
  <c r="H17" i="1"/>
  <c r="P16" i="1"/>
  <c r="H16" i="1"/>
  <c r="P15" i="1"/>
  <c r="H15" i="1"/>
  <c r="P14" i="1"/>
  <c r="H14" i="1"/>
  <c r="P13" i="1"/>
  <c r="H13" i="1"/>
  <c r="P12" i="1"/>
  <c r="H12" i="1"/>
  <c r="P11" i="1"/>
  <c r="H11" i="1"/>
  <c r="P10" i="1"/>
  <c r="H10" i="1"/>
  <c r="P9" i="1"/>
  <c r="H9" i="1"/>
  <c r="P8" i="1"/>
  <c r="H8" i="1"/>
  <c r="P7" i="1"/>
  <c r="H7" i="1"/>
  <c r="P6" i="1"/>
  <c r="H6" i="1"/>
  <c r="P5" i="1"/>
  <c r="H5" i="1"/>
  <c r="M8" i="2" l="1"/>
  <c r="K8" i="2"/>
  <c r="J8" i="2"/>
  <c r="I8" i="2"/>
  <c r="H8" i="2"/>
  <c r="G8" i="2"/>
  <c r="F8" i="2"/>
  <c r="E8" i="2"/>
  <c r="D8" i="2"/>
  <c r="C8" i="2"/>
  <c r="B8" i="2"/>
  <c r="L8" i="2" s="1"/>
  <c r="M7" i="2"/>
  <c r="K7" i="2"/>
  <c r="J7" i="2"/>
  <c r="I7" i="2"/>
  <c r="H7" i="2"/>
  <c r="G7" i="2"/>
  <c r="F7" i="2"/>
  <c r="E7" i="2"/>
  <c r="D7" i="2"/>
  <c r="C7" i="2"/>
  <c r="B7" i="2"/>
  <c r="B6" i="2"/>
  <c r="M6" i="2"/>
  <c r="K6" i="2"/>
  <c r="J6" i="2"/>
  <c r="I6" i="2"/>
  <c r="H6" i="2"/>
  <c r="G6" i="2"/>
  <c r="F6" i="2"/>
  <c r="E6" i="2"/>
  <c r="D6" i="2"/>
  <c r="C6" i="2"/>
  <c r="M5" i="2"/>
  <c r="K5" i="2"/>
  <c r="J5" i="2"/>
  <c r="I5" i="2"/>
  <c r="H5" i="2"/>
  <c r="G5" i="2"/>
  <c r="F5" i="2"/>
  <c r="E5" i="2"/>
  <c r="D5" i="2"/>
  <c r="C5" i="2"/>
  <c r="B5" i="2"/>
  <c r="L6" i="2" l="1"/>
  <c r="L7" i="2"/>
  <c r="L5" i="2"/>
</calcChain>
</file>

<file path=xl/sharedStrings.xml><?xml version="1.0" encoding="utf-8"?>
<sst xmlns="http://schemas.openxmlformats.org/spreadsheetml/2006/main" count="1040" uniqueCount="491">
  <si>
    <t>Cristian Arcidiacono — 2026–27 job market: where reference letters are needed</t>
  </si>
  <si>
    <t>Prepared 19 October 2026 from the weekly scan. Rows sorted by the date letters are due. Blue cells (referee names, status) are for Cristian to edit; everything else was read from the live ads. 'Not stated – check ad' means the ad gives no number (three assumed). All four letters (Reis, Benigno, Hofmann, Chaudhary) are written; 'On platform' rows pick them up from JOE/EconJobMarket/Interfolio/AJO automatically, 'Referee action needed' rows need the referee to send or upload separately.</t>
  </si>
  <si>
    <t>Priority</t>
  </si>
  <si>
    <t>Institution</t>
  </si>
  <si>
    <t>Position</t>
  </si>
  <si>
    <t>Location</t>
  </si>
  <si>
    <t>Track · letter set</t>
  </si>
  <si>
    <t>Application deadline</t>
  </si>
  <si>
    <t>Letters due</t>
  </si>
  <si>
    <t>Days until letters due</t>
  </si>
  <si>
    <t>Letters required</t>
  </si>
  <si>
    <t>How letters are submitted</t>
  </si>
  <si>
    <t>Portal / address / timing</t>
  </si>
  <si>
    <t>Referee 1</t>
  </si>
  <si>
    <t>Referee 2</t>
  </si>
  <si>
    <t>Referee 3</t>
  </si>
  <si>
    <t>Referee 4</t>
  </si>
  <si>
    <t>All referees</t>
  </si>
  <si>
    <t>Letter status</t>
  </si>
  <si>
    <t>Notes</t>
  </si>
  <si>
    <t>Fit score</t>
  </si>
  <si>
    <t>A</t>
  </si>
  <si>
    <t>St John's College, Oxford</t>
  </si>
  <si>
    <t>Career Development Research Fellowship in Economics (4 yrs from Oct 2027)</t>
  </si>
  <si>
    <t>Oxford, UK</t>
  </si>
  <si>
    <t>Fellowship · Macro / economics</t>
  </si>
  <si>
    <t>Names only at submission; 2 reports requested by the college</t>
  </si>
  <si>
    <t>College requests reports directly</t>
  </si>
  <si>
    <t>Reports due 12:00 noon UK, Fri 30 Oct; application 1pm Fri 23 Oct</t>
  </si>
  <si>
    <t>Reis</t>
  </si>
  <si>
    <t>Benigno</t>
  </si>
  <si>
    <t>Names only</t>
  </si>
  <si>
    <t>Economists in any field welcome. College contacts the two named referees after submission.</t>
  </si>
  <si>
    <t>University of St. Gallen</t>
  </si>
  <si>
    <t>Assistant Professor (tenure track), Macroeconomics</t>
  </si>
  <si>
    <t>St. Gallen, CH</t>
  </si>
  <si>
    <t>Academic · Macro / economics</t>
  </si>
  <si>
    <t>University portal (facultyrecruiting.unisg.ch)</t>
  </si>
  <si>
    <t>Contact facultyposition@unisg.ch (Prof. Winfried Koeniger)</t>
  </si>
  <si>
    <t>Referee action needed</t>
  </si>
  <si>
    <t>No German required. Start Aug 2027.</t>
  </si>
  <si>
    <t>OECD, Economics Department</t>
  </si>
  <si>
    <t>Junior Economists / Economists (2-yr, Paris)</t>
  </si>
  <si>
    <t>Paris, FR</t>
  </si>
  <si>
    <t>Policy</t>
  </si>
  <si>
    <t>EconJobMarket (ad 12569) + email</t>
  </si>
  <si>
    <t>econjobmarket.org/positions/12569; JMP/CV/cover letter to mathieu.miranda@oecd.org</t>
  </si>
  <si>
    <t>Hofmann</t>
  </si>
  <si>
    <t>On platform – check attached</t>
  </si>
  <si>
    <t>EJM says 1 Nov; the JOE copy of the ad says 15 Nov and that letters are needed only for candidates called to the panel. Working to 1 Nov.</t>
  </si>
  <si>
    <t>Northwestern Kellogg</t>
  </si>
  <si>
    <t>Assistant Professor of Finance</t>
  </si>
  <si>
    <t>Evanston, US</t>
  </si>
  <si>
    <t>Academic · Finance</t>
  </si>
  <si>
    <t>Kellogg faculty-recruiting portal</t>
  </si>
  <si>
    <t>facultyrecruiting.northwestern.edu/apply/MjYzMg</t>
  </si>
  <si>
    <t>Chaudhary</t>
  </si>
  <si>
    <t>1 Nov is the full-consideration date; final 31 Jan 2027.</t>
  </si>
  <si>
    <t>Texas A&amp;M University</t>
  </si>
  <si>
    <t>Assistant Professor of International Macroeconomics</t>
  </si>
  <si>
    <t>College Station, US</t>
  </si>
  <si>
    <t>Not stated – check ad</t>
  </si>
  <si>
    <t>AEA JOE</t>
  </si>
  <si>
    <t>JOE listing (Aug 2026)</t>
  </si>
  <si>
    <t>EPFL / Swiss Finance Institute</t>
  </si>
  <si>
    <t>Faculty positions in Finance (two posts, one ad)</t>
  </si>
  <si>
    <t>Lausanne, CH</t>
  </si>
  <si>
    <t>Names only (3–5)</t>
  </si>
  <si>
    <t>Names supplied; EPFL requests letters later</t>
  </si>
  <si>
    <t>epfl.ch/about/working/?p=9052</t>
  </si>
  <si>
    <t>Referees 'ready to supply a letter upon request'.</t>
  </si>
  <si>
    <t>Imperial College Business School</t>
  </si>
  <si>
    <t>Assistant/Associate/Full Professor in Economics</t>
  </si>
  <si>
    <t>London, UK</t>
  </si>
  <si>
    <t>EconJobMarket (ad 12773)</t>
  </si>
  <si>
    <t>econjobmarket.org/positions/12773</t>
  </si>
  <si>
    <t>23:59 GMT.</t>
  </si>
  <si>
    <t>BIS – 2027 PhD Fellowship Programme</t>
  </si>
  <si>
    <t>PhD Fellowship (3 months, Apr–Dec 2027)</t>
  </si>
  <si>
    <t>Basel, CH</t>
  </si>
  <si>
    <t>Fellowship · Policy</t>
  </si>
  <si>
    <t>Not stated – check form</t>
  </si>
  <si>
    <t>BIS careers portal</t>
  </si>
  <si>
    <t>bis.org/vacancy/jr100516</t>
  </si>
  <si>
    <t>Only if BIS confirms a 2024 fellow may re-apply.</t>
  </si>
  <si>
    <t>Oxford Saïd Business School</t>
  </si>
  <si>
    <t>Tenure-track position in Financial Economics</t>
  </si>
  <si>
    <t>None at this stage</t>
  </si>
  <si>
    <t>Expression-of-interest stage only</t>
  </si>
  <si>
    <t>careers.sbs.ox.ac.uk vacancy 1024</t>
  </si>
  <si>
    <t>Not needed yet</t>
  </si>
  <si>
    <t>No letters until a full application is invited.</t>
  </si>
  <si>
    <t>B</t>
  </si>
  <si>
    <t>Cornell University, Economics</t>
  </si>
  <si>
    <t>Assistant Professor (international)</t>
  </si>
  <si>
    <t>Ithaca, US</t>
  </si>
  <si>
    <t>See JOE ad</t>
  </si>
  <si>
    <t>Reach.</t>
  </si>
  <si>
    <t>Federal Reserve Bank of New York</t>
  </si>
  <si>
    <t>Economist (PhD), Research &amp; Statistics</t>
  </si>
  <si>
    <t>New York, US</t>
  </si>
  <si>
    <t>NY Fed Workday portal</t>
  </si>
  <si>
    <t>Letters accepted up to one week after the application deadline</t>
  </si>
  <si>
    <t>Non-citizens need a declaration of intent to naturalise.</t>
  </si>
  <si>
    <t>Bank for International Settlements (MED)</t>
  </si>
  <si>
    <t>Economist / Senior Economist / Principal Economist</t>
  </si>
  <si>
    <t>AEA JOE only</t>
  </si>
  <si>
    <t>JOE listing 2026-02_111478115 – letters uploaded through JOE</t>
  </si>
  <si>
    <t>TOP PRIORITY. Letter set Reis, Benigno, Hofmann as decided; confirm BIS accepts a letter from a current BIS staff member (Chaudhary is the fallback).</t>
  </si>
  <si>
    <t>Toulouse School of Economics</t>
  </si>
  <si>
    <t>Assistant Professor (tenure track)</t>
  </si>
  <si>
    <t>Toulouse, FR</t>
  </si>
  <si>
    <t>EconJobMarket (ad 12736)</t>
  </si>
  <si>
    <t>econjobmarket.org/positions/12736</t>
  </si>
  <si>
    <t>University of Konstanz</t>
  </si>
  <si>
    <t>Assistant Professor / Postdoc (economics)</t>
  </si>
  <si>
    <t>Konstanz, DE</t>
  </si>
  <si>
    <t>See ad</t>
  </si>
  <si>
    <t>Clare / Churchill / Fitzwilliam / Murray Edwards / Trinity Hall (Cambridge)</t>
  </si>
  <si>
    <t>Early Career Research Fellowships 2027 (joint scheme, 3 yrs)</t>
  </si>
  <si>
    <t>Cambridge, UK</t>
  </si>
  <si>
    <t>Per further particulars (jrf.chu.cam.ac.uk/rf_2027)</t>
  </si>
  <si>
    <t>College online form</t>
  </si>
  <si>
    <t>clare.cam.ac.uk/JRF-Eligibility</t>
  </si>
  <si>
    <t>5pm. Confirm which colleges' strands admit Economics. Add Hofmann if the particulars ask for three.</t>
  </si>
  <si>
    <t>Harvard Business School – BGIE</t>
  </si>
  <si>
    <t>Assistant Professor, Business, Government &amp; the International Economy</t>
  </si>
  <si>
    <t>Boston, US</t>
  </si>
  <si>
    <t>Interfolio 192151</t>
  </si>
  <si>
    <t>apply.interfolio.com/192151</t>
  </si>
  <si>
    <t>INSEAD, Finance Area</t>
  </si>
  <si>
    <t>Fontainebleau, FR</t>
  </si>
  <si>
    <t>3 or more – uploaded by the candidate</t>
  </si>
  <si>
    <t>Interfolio 194812 – candidate uploads confidential letters</t>
  </si>
  <si>
    <t>apply.interfolio.com/194812</t>
  </si>
  <si>
    <t>Letters must reach Cristian's Interfolio dossier before 10 Nov. A fourth letter is optional, not required — Hofmann can be added.</t>
  </si>
  <si>
    <t>Stanford GSB, Economics</t>
  </si>
  <si>
    <t>Faculty positions in Economics</t>
  </si>
  <si>
    <t>Stanford, US</t>
  </si>
  <si>
    <t>AcademicJobsOnline</t>
  </si>
  <si>
    <t>Banca d'Italia</t>
  </si>
  <si>
    <t>Research Fellowships for young economists 2026 (4 posts; 12+12 months, from Nov 2027)</t>
  </si>
  <si>
    <t>Rome, IT</t>
  </si>
  <si>
    <t>At least 2 – SIGNED, sent by the referee</t>
  </si>
  <si>
    <t>Referee emails the letter directly to the Bank</t>
  </si>
  <si>
    <t>personale.fellowship@bancaditalia.it – deadline 12:00 CET, 13 Nov</t>
  </si>
  <si>
    <t>Letters do NOT go through any platform – each referee emails a signed PDF directly. Areas: monetary policy, international, financial stability.</t>
  </si>
  <si>
    <t>EIEF (Einaudi Institute)</t>
  </si>
  <si>
    <t>Assistant Professor (2 posts)</t>
  </si>
  <si>
    <t>EconJobMarket (ad 12688)</t>
  </si>
  <si>
    <t>econjobmarket.org/positions/12688</t>
  </si>
  <si>
    <t>IIES, Stockholm University</t>
  </si>
  <si>
    <t>Tenure-track Assistant Professor</t>
  </si>
  <si>
    <t>Stockholm, SE</t>
  </si>
  <si>
    <t>EconJobMarket (ad 12840)</t>
  </si>
  <si>
    <t>econjobmarket.org/positions/12840</t>
  </si>
  <si>
    <t>UCL, Department of Economics</t>
  </si>
  <si>
    <t>Assistant Professor (Lecturer) in Economics</t>
  </si>
  <si>
    <t>EconJobMarket (ad 12850)</t>
  </si>
  <si>
    <t>econjobmarket.org/positions/12850</t>
  </si>
  <si>
    <t>UCL, Economics / School of Management</t>
  </si>
  <si>
    <t>Assistant Professor (Lecturer) in Finance</t>
  </si>
  <si>
    <t>EconJobMarket (ad 12826)</t>
  </si>
  <si>
    <t>econjobmarket.org/positions/12826</t>
  </si>
  <si>
    <t>HEC Paris</t>
  </si>
  <si>
    <t>Jouy-en-Josas, FR</t>
  </si>
  <si>
    <t>EconJobMarket (ad 12819)</t>
  </si>
  <si>
    <t>econjobmarket.org/positions/12819</t>
  </si>
  <si>
    <t>No French needed.</t>
  </si>
  <si>
    <t>Columbia University, Economics</t>
  </si>
  <si>
    <t>Assistant Professor (junior)</t>
  </si>
  <si>
    <t>EconJobMarket (ad 12750)</t>
  </si>
  <si>
    <t>econjobmarket.org/positions/12750</t>
  </si>
  <si>
    <t>LSE, Department of Finance</t>
  </si>
  <si>
    <t>AEA JOE / LSE portal</t>
  </si>
  <si>
    <t>McGill, Desautels</t>
  </si>
  <si>
    <t>Tenure-track position in Finance</t>
  </si>
  <si>
    <t>Montréal, CA</t>
  </si>
  <si>
    <t>McGill Workday</t>
  </si>
  <si>
    <t>Date unverified</t>
  </si>
  <si>
    <t>Yale School of Management</t>
  </si>
  <si>
    <t>Assistant or Associate Professor of Economics</t>
  </si>
  <si>
    <t>New Haven, US</t>
  </si>
  <si>
    <t>Interfolio 195222</t>
  </si>
  <si>
    <t>apply.interfolio.com/195222</t>
  </si>
  <si>
    <t>Bocconi University, Department of Finance</t>
  </si>
  <si>
    <t>Assistant Professor of Finance (tenure track)</t>
  </si>
  <si>
    <t>Milan, IT</t>
  </si>
  <si>
    <t>Bocconi job-market portal</t>
  </si>
  <si>
    <t>jobmarket.unibocconi.eu/?id=1005 – 23:59 Italian time</t>
  </si>
  <si>
    <t>Université de Montréal</t>
  </si>
  <si>
    <t>Assistant Professor of Macroeconomics</t>
  </si>
  <si>
    <t>EconJobMarket (ad 12645)</t>
  </si>
  <si>
    <t>econjobmarket.org/positions/12645</t>
  </si>
  <si>
    <t>Erasmus School of Economics</t>
  </si>
  <si>
    <t>Assistant Professor in Macroeconomics / International Economics (TT)</t>
  </si>
  <si>
    <t>Rotterdam, NL</t>
  </si>
  <si>
    <t>EconJobMarket (ad 12857)</t>
  </si>
  <si>
    <t>econjobmarket.org/positions/12857</t>
  </si>
  <si>
    <t>University of Mannheim</t>
  </si>
  <si>
    <t>Assistant Professorships (W1) in Empirical / Quantitative Macroeconomics</t>
  </si>
  <si>
    <t>Mannheim, DE</t>
  </si>
  <si>
    <t>Not stated in ad (EJM form: 3)</t>
  </si>
  <si>
    <t>EconJobMarket only (ad 12801)</t>
  </si>
  <si>
    <t>econjobmarket.org/positions/12801</t>
  </si>
  <si>
    <t>Université de Genève – GFRI</t>
  </si>
  <si>
    <t>Assistant/Associate Professor (TT) in Finance, ref. 7008</t>
  </si>
  <si>
    <t>Geneva, CH</t>
  </si>
  <si>
    <t>None now ('not requested for now')</t>
  </si>
  <si>
    <t>—</t>
  </si>
  <si>
    <t>Letters may be requested at a later stage.</t>
  </si>
  <si>
    <t>Université de Genève – GSEM</t>
  </si>
  <si>
    <t>Tenure-track Assistant Professor in Economics</t>
  </si>
  <si>
    <t>Names only (list of 3)</t>
  </si>
  <si>
    <t>EconJobMarket (ad 12769)</t>
  </si>
  <si>
    <t>Full consideration 15 Nov; final 31 Jan 2027</t>
  </si>
  <si>
    <t>IE University</t>
  </si>
  <si>
    <t>Tenure-track Assistant Professor of Finance</t>
  </si>
  <si>
    <t>Madrid, ES</t>
  </si>
  <si>
    <t>EconJobMarket (ad 12674)</t>
  </si>
  <si>
    <t>CUNEF Universidad</t>
  </si>
  <si>
    <t>Assistant Professor (Economics / Finance)</t>
  </si>
  <si>
    <t>EconJobMarket (ad 12691)</t>
  </si>
  <si>
    <t>Treated as an Economics application; if applying to Finance, use Reis, Benigno, Chaudhary.</t>
  </si>
  <si>
    <t>University of Zurich, Finance</t>
  </si>
  <si>
    <t>Assistant Professorship in Finance (TT)</t>
  </si>
  <si>
    <t>Zurich, CH</t>
  </si>
  <si>
    <t>jobs.uzh.ch</t>
  </si>
  <si>
    <t>University of Bonn</t>
  </si>
  <si>
    <t>Postdoctoral positions in Macroeconomics (2)</t>
  </si>
  <si>
    <t>Bonn, DE</t>
  </si>
  <si>
    <t>EconJobMarket</t>
  </si>
  <si>
    <t>SOFI, Stockholm University</t>
  </si>
  <si>
    <t>Assistant Professor (labour)</t>
  </si>
  <si>
    <t>Institute for Fiscal Studies</t>
  </si>
  <si>
    <t>Research Economist – Postdoctoral / Postdoctoral Fellow</t>
  </si>
  <si>
    <t>Research institute · Macro / economics</t>
  </si>
  <si>
    <t>EconJobMarket (ads 12705 / 12665)</t>
  </si>
  <si>
    <t>Williams College</t>
  </si>
  <si>
    <t>Assistant Professor of Economics</t>
  </si>
  <si>
    <t>Williamstown, US</t>
  </si>
  <si>
    <t>Interfolio 190595</t>
  </si>
  <si>
    <t>MIT Sloan</t>
  </si>
  <si>
    <t>Assistant Professor (Finance / Economics)</t>
  </si>
  <si>
    <t>Cambridge MA, US</t>
  </si>
  <si>
    <t>University of Notre Dame</t>
  </si>
  <si>
    <t>Assistant Professor (macro priority)</t>
  </si>
  <si>
    <t>Notre Dame, US</t>
  </si>
  <si>
    <t>Interfolio 188748</t>
  </si>
  <si>
    <t>Priority date 15 Nov</t>
  </si>
  <si>
    <t>Federal Reserve Bank of Dallas</t>
  </si>
  <si>
    <t>Economists / Senior Economists (macro, monetary, international, finance)</t>
  </si>
  <si>
    <t>Dallas, US</t>
  </si>
  <si>
    <t>EconJobMarket (ad 12793)</t>
  </si>
  <si>
    <t>econjobmarket.org/positions/12793 – letters must be RECEIVED by the deadline</t>
  </si>
  <si>
    <t>'Protected Individuals' restriction for FOMC material; declaration of intent possible.</t>
  </si>
  <si>
    <t>Inter-American Development Bank, Research Dept</t>
  </si>
  <si>
    <t>Research Economists</t>
  </si>
  <si>
    <t>Washington DC, US</t>
  </si>
  <si>
    <t>AEA JOE (letters) + IDB careers site</t>
  </si>
  <si>
    <t>JOE listing 2026-02_111478277</t>
  </si>
  <si>
    <t>Assistant/Associate/Full Professor in Finance</t>
  </si>
  <si>
    <t>Alexander von Humboldt Foundation</t>
  </si>
  <si>
    <t>Humboldt Research Fellowship (postdoc, Germany)</t>
  </si>
  <si>
    <t>Germany (host TBD)</t>
  </si>
  <si>
    <t>2 expert reviews + host statement (Humboldt forms)</t>
  </si>
  <si>
    <t>Humboldt online portal – reviewers upload on request</t>
  </si>
  <si>
    <t>Call opens 15 Nov; 800-application cap</t>
  </si>
  <si>
    <t>Needs a German host (Mannheim / Bonn / SAFE) first.</t>
  </si>
  <si>
    <t>C</t>
  </si>
  <si>
    <t>Bocconi University, Economics (call 987)</t>
  </si>
  <si>
    <t>Assistant Professor of Economics (junior) – CONDITIONAL</t>
  </si>
  <si>
    <t>jobmarket.unibocconi.eu/?id=987</t>
  </si>
  <si>
    <t>Only if Bocconi confirms a May-2027 defence qualifies (ad says PhD 'conferred on or after 1 Sept 2023').</t>
  </si>
  <si>
    <t>Maastricht University</t>
  </si>
  <si>
    <t>Assistant Professor, Macroeconomics – CONDITIONAL</t>
  </si>
  <si>
    <t>Maastricht, NL</t>
  </si>
  <si>
    <t>2 contacts</t>
  </si>
  <si>
    <t>AcademicTransfer</t>
  </si>
  <si>
    <t>Ad says 'You hold a PhD' – awaiting clarification.</t>
  </si>
  <si>
    <t>Banco de España, Research</t>
  </si>
  <si>
    <t>Research Economist (2026–27 PhD job market)</t>
  </si>
  <si>
    <t>At least 3</t>
  </si>
  <si>
    <t>EconJobMarket (ad 12796)</t>
  </si>
  <si>
    <t>econjobmarket.org/positions/12796 – midnight UTC</t>
  </si>
  <si>
    <t>Spanish valued, not required.</t>
  </si>
  <si>
    <t>Copenhagen Business School, Finance</t>
  </si>
  <si>
    <t>Copenhagen, DK</t>
  </si>
  <si>
    <t>CBS HR portal</t>
  </si>
  <si>
    <t>Full consideration 9 Nov; final 16 Nov 23:59 UTC</t>
  </si>
  <si>
    <t>University of British Columbia, VSE</t>
  </si>
  <si>
    <t>Assistant Professor (macro / international macro)</t>
  </si>
  <si>
    <t>Vancouver, CA</t>
  </si>
  <si>
    <t>At least 3 – submitted directly by referees via EJM</t>
  </si>
  <si>
    <t>EconJobMarket (ad 12839)</t>
  </si>
  <si>
    <t>econjobmarket.org/positions/12839</t>
  </si>
  <si>
    <t>Canadians/PRs given priority.</t>
  </si>
  <si>
    <t>WU Vienna</t>
  </si>
  <si>
    <t>Assistant Professor of Finance – CONDITIONAL</t>
  </si>
  <si>
    <t>Vienna, AT</t>
  </si>
  <si>
    <t>WU portal</t>
  </si>
  <si>
    <t>Awaiting clarification on PhD timing.</t>
  </si>
  <si>
    <t>Columbia Business School, Finance</t>
  </si>
  <si>
    <t>Assistant/Associate Professor – Finance</t>
  </si>
  <si>
    <t>Interfolio 194179</t>
  </si>
  <si>
    <t>Amsterdam Business School</t>
  </si>
  <si>
    <t>Assistant Professor</t>
  </si>
  <si>
    <t>Amsterdam, NL</t>
  </si>
  <si>
    <t>UQAM, Département des sciences économiques</t>
  </si>
  <si>
    <t>Professor, International Economics</t>
  </si>
  <si>
    <t>EconJobMarket (ad 12695)</t>
  </si>
  <si>
    <t>Assistant Professor in Finance (TT)</t>
  </si>
  <si>
    <t>EconJobMarket (ad 12833)</t>
  </si>
  <si>
    <t>Federal Reserve Bank of San Francisco</t>
  </si>
  <si>
    <t>Economist / Senior Economist</t>
  </si>
  <si>
    <t>San Francisco, US</t>
  </si>
  <si>
    <t>EconJobMarket (ad 12609)</t>
  </si>
  <si>
    <t>NYU Stern, Finance</t>
  </si>
  <si>
    <t>Interfolio 194815</t>
  </si>
  <si>
    <t>Full consideration 13 Nov; final 20 Nov</t>
  </si>
  <si>
    <t>HEC Montréal, Finance</t>
  </si>
  <si>
    <t>Tenure-track, open rank</t>
  </si>
  <si>
    <t>Up to 3</t>
  </si>
  <si>
    <t>Qualtrics form</t>
  </si>
  <si>
    <t>hecmontreal.eu.qualtrics.com/jfe/form/SV_bvHfE0IBLXmB0H4</t>
  </si>
  <si>
    <t>French within 2 years.</t>
  </si>
  <si>
    <t>ESSEC Business School, Finance</t>
  </si>
  <si>
    <t>Assistant Professor of Finance (asset pricing or real-estate finance)</t>
  </si>
  <si>
    <t>Cergy, FR</t>
  </si>
  <si>
    <t>EconJobMarket (ad 12777)</t>
  </si>
  <si>
    <t>Wharton, Finance</t>
  </si>
  <si>
    <t>Philadelphia, US</t>
  </si>
  <si>
    <t>3 (+ optional 4th)</t>
  </si>
  <si>
    <t>AcademicJobsOnline 32965</t>
  </si>
  <si>
    <t>Full consideration 20 Nov</t>
  </si>
  <si>
    <t>A fourth letter is optional, not required — Hofmann can be added.</t>
  </si>
  <si>
    <t>Bank of Canada</t>
  </si>
  <si>
    <t>PhD Researcher (2026–27 PhD job market)</t>
  </si>
  <si>
    <t>Ottawa, CA</t>
  </si>
  <si>
    <t>Recommended by 20 Nov (virtual interviews from 1 Dec); final 30 Apr 2027</t>
  </si>
  <si>
    <t>University of Helsinki</t>
  </si>
  <si>
    <t>Assistant Professor of Economics (Macroeconomics)</t>
  </si>
  <si>
    <t>Helsinki, FI</t>
  </si>
  <si>
    <t>EconJobMarket (ad 12831)</t>
  </si>
  <si>
    <t>Finnish not required.</t>
  </si>
  <si>
    <t>Warwick Business School, Finance</t>
  </si>
  <si>
    <t>Coventry, UK</t>
  </si>
  <si>
    <t>EconJobMarket (ad 12720)</t>
  </si>
  <si>
    <t>University page says 22 Nov; EJM 29 Nov – use 22 Nov</t>
  </si>
  <si>
    <t>LMU Munich</t>
  </si>
  <si>
    <t>Assistant Professorships (any field)</t>
  </si>
  <si>
    <t>Munich, DE</t>
  </si>
  <si>
    <t>EconJobMarket (ad 12851)</t>
  </si>
  <si>
    <t>University of Alberta</t>
  </si>
  <si>
    <t>Tenure-track Assistant Professor, Macroeconomics</t>
  </si>
  <si>
    <t>Edmonton, CA</t>
  </si>
  <si>
    <t>EconJobMarket (ad 12794)</t>
  </si>
  <si>
    <t>King's College London, King's Business School</t>
  </si>
  <si>
    <t>Assistant Professor in Economics – Macroeconomics</t>
  </si>
  <si>
    <t>EconJobMarket (ad 12783)</t>
  </si>
  <si>
    <t>CSEF – University of Naples Federico II</t>
  </si>
  <si>
    <t>Research Fellowship (macro public finance strand)</t>
  </si>
  <si>
    <t>Naples, IT</t>
  </si>
  <si>
    <t>EconJobMarket (ad 12764)</t>
  </si>
  <si>
    <t>IWH Halle / Otto von Guericke University</t>
  </si>
  <si>
    <t>Assistant Professor (W1) in Financial Economics (2 posts)</t>
  </si>
  <si>
    <t>Halle / Magdeburg, DE</t>
  </si>
  <si>
    <t>EconJobMarket (ad 12586)</t>
  </si>
  <si>
    <t>Two letters: Reis and Benigno (Chaudhary as alternative).</t>
  </si>
  <si>
    <t>University of Toronto – Munk School</t>
  </si>
  <si>
    <t>Assistant Professor, Global Economics – CONDITIONAL</t>
  </si>
  <si>
    <t>Toronto, CA</t>
  </si>
  <si>
    <t>3 contacts + letters (number not stated)</t>
  </si>
  <si>
    <t>U of T careers portal</t>
  </si>
  <si>
    <t>Letters must be received by 30 Nov</t>
  </si>
  <si>
    <t>Ad says 'must have earned a PhD' – awaiting clarification.</t>
  </si>
  <si>
    <t>Princeton University</t>
  </si>
  <si>
    <t>Postdoctoral Research Associate – Macroeconomics</t>
  </si>
  <si>
    <t>Princeton, US</t>
  </si>
  <si>
    <t>University of Guelph</t>
  </si>
  <si>
    <t>Assistant Professor in Macroeconomics</t>
  </si>
  <si>
    <t>Guelph, CA</t>
  </si>
  <si>
    <t>EconJobMarket (ad 12864)</t>
  </si>
  <si>
    <t>Target date 15 Nov; final 1 Dec</t>
  </si>
  <si>
    <t>HEC Montréal, Applied Economics</t>
  </si>
  <si>
    <t>Federal Reserve Bank of Kansas City</t>
  </si>
  <si>
    <t>Economist</t>
  </si>
  <si>
    <t>Kansas City, US</t>
  </si>
  <si>
    <t>ESG UQAM, Finance</t>
  </si>
  <si>
    <t>Professor of Finance (2 posts)</t>
  </si>
  <si>
    <t>At least 2 – emailed</t>
  </si>
  <si>
    <t>Email</t>
  </si>
  <si>
    <t>roch.alexandre_f@uqam.ca</t>
  </si>
  <si>
    <t>International Monetary Fund</t>
  </si>
  <si>
    <t>Economist Program 2027 (req 26-R9861)</t>
  </si>
  <si>
    <t>3 ACADEMIC references – requested after the preliminary interview</t>
  </si>
  <si>
    <t>IMF Workday – references requested by the IMF after a first interview</t>
  </si>
  <si>
    <t>Mirrors give 4 or 5 Dec; working to 4 Dec</t>
  </si>
  <si>
    <t>IMF asks for three ACADEMIC references and none from current IMF staff. Hofmann (BIS) may not count as academic — Chaudhary is the fallback.</t>
  </si>
  <si>
    <t>NBER</t>
  </si>
  <si>
    <t>Post-doctoral Fellowship in Long-Term Fiscal Policy (2027–28)</t>
  </si>
  <si>
    <t>NBER online form</t>
  </si>
  <si>
    <t>5pm EST</t>
  </si>
  <si>
    <t>One letter only. PhD by June 2027 required. One letter only — Reis assigned (Benigno is the alternative).</t>
  </si>
  <si>
    <t>University of Bristol</t>
  </si>
  <si>
    <t>Lecturer in Economics (Assistant Professor)</t>
  </si>
  <si>
    <t>Bristol, UK</t>
  </si>
  <si>
    <t>EconJobMarket (ad 12856)</t>
  </si>
  <si>
    <t>Target date 22 Nov</t>
  </si>
  <si>
    <t>Cambridge – Janeway Institute</t>
  </si>
  <si>
    <t>Postdoctoral Research Fellowship</t>
  </si>
  <si>
    <t>AEA JOE / Cambridge portal</t>
  </si>
  <si>
    <t>Yale School of Management, Finance</t>
  </si>
  <si>
    <t>Stanford – SIEPR</t>
  </si>
  <si>
    <t>Postdoctoral Fellow (Young Scholars Program)</t>
  </si>
  <si>
    <t>Full consideration 4 Jan 2027</t>
  </si>
  <si>
    <t>Requires PhD between 1 Sep 2026 and 31 Aug 2027.</t>
  </si>
  <si>
    <t>European University Institute</t>
  </si>
  <si>
    <t>Max Weber Postdoctoral Fellowship (Economics round)</t>
  </si>
  <si>
    <t>Florence, IT</t>
  </si>
  <si>
    <t>2 to 3</t>
  </si>
  <si>
    <t>EUI portal; letters may be emailed</t>
  </si>
  <si>
    <t>Reference.Fellow@eui.eu (Interfolio accepted) – 14:00 CET</t>
  </si>
  <si>
    <t>Chicago Booth</t>
  </si>
  <si>
    <t>Assistant/Associate Professor of Economics (Macroeconomics)</t>
  </si>
  <si>
    <t>Chicago, US</t>
  </si>
  <si>
    <t>Names of at least 2 scholars</t>
  </si>
  <si>
    <t>Interfolio 191225</t>
  </si>
  <si>
    <t>Review from 12 Nov; open to 31 Mar 2027</t>
  </si>
  <si>
    <t>Letter-light; outside the November wall.</t>
  </si>
  <si>
    <t>Legend</t>
  </si>
  <si>
    <t>Priority A</t>
  </si>
  <si>
    <t>Highest-value targets (fit ≥ 75) or letters due by 8 November — please treat these first.</t>
  </si>
  <si>
    <t>Priority B</t>
  </si>
  <si>
    <t>Good fit; mostly on the standard EJM/JOE flow, so one upload covers them.</t>
  </si>
  <si>
    <t>Priority C</t>
  </si>
  <si>
    <t>Conditional on an eligibility answer, or lower value — may be dropped.</t>
  </si>
  <si>
    <t>Blue text</t>
  </si>
  <si>
    <t>Cells Cristian edits (referee assignment, letter status). Letter sets: Macro/economics = Reis + Benigno (+ Hofmann if a third is required); Policy = Reis + Benigno + Hofmann; Finance = Reis + Benigno + Chaudhary (+ Hofmann if a fourth is required).</t>
  </si>
  <si>
    <t>Days column</t>
  </si>
  <si>
    <t>Recalculates from today's date; red = due within 14 days; grey strike-through = passed.</t>
  </si>
  <si>
    <t>Sources</t>
  </si>
  <si>
    <t>Deadlines read from the live ads (EconJobMarket, AEA JOE, SSRN, INOMICS, institutional pages) on 18–19 Oct 2026; where two sources differ the earlier date is used and the Notes say so. Dates can change — the weekly scan re-checks them.</t>
  </si>
  <si>
    <t>Letters per referee — live counts from the Applications sheet</t>
  </si>
  <si>
    <t>Counts update automatically when referee assignments or statuses change on the first sheet. A platform letter (EJM, JOE, Interfolio, AJO) is written once and reused, so the real workload is the number of distinct platforms plus the direct-email items.</t>
  </si>
  <si>
    <t>Referee</t>
  </si>
  <si>
    <t>Applications naming this referee</t>
  </si>
  <si>
    <t>Earliest letters due</t>
  </si>
  <si>
    <t>Due by 31 Oct</t>
  </si>
  <si>
    <t>Due 1–8 Nov</t>
  </si>
  <si>
    <t>Due 9–16 Nov</t>
  </si>
  <si>
    <t>Due 17–30 Nov</t>
  </si>
  <si>
    <t>Due Dec 2026</t>
  </si>
  <si>
    <t>Due 2027</t>
  </si>
  <si>
    <t>Via EJM / JOE (one upload)</t>
  </si>
  <si>
    <t>Via Interfolio / AJO</t>
  </si>
  <si>
    <t>Other (own portal, direct email, names only)</t>
  </si>
  <si>
    <t>Needs the referee to act separately</t>
  </si>
  <si>
    <t>Note: 'Direct email or own portal' counts the items that need a separate action per application — e.g. Banca d'Italia (signed PDF to personale.fellowship@bancaditalia.it), St John's (college report request), Kellogg, Bocconi, CBS, HEC Montréal (Qualtrics), ESG UQAM (email), EUI, NBER, Humboldt. The platform columns count once per application, but the letter itself is uploaded once per platform.</t>
  </si>
  <si>
    <t>How letters reach each platform (from the LSE Economics job-market memo)</t>
  </si>
  <si>
    <t>Platform</t>
  </si>
  <si>
    <t>What the referee does</t>
  </si>
  <si>
    <t>What Cristian does first</t>
  </si>
  <si>
    <t>EconJobMarket (EJM)</t>
  </si>
  <si>
    <t>Receives an email from EJM once Cristian names you on his candidate profile; uploads ONE letter. It is then delivered automatically to every EJM application that names you.</t>
  </si>
  <si>
    <t>Registers as a candidate and enters each referee's own institutional email address (never a proxy address).</t>
  </si>
  <si>
    <t>Covers roughly two-thirds of the list: Banco de España, OECD, Imperial, TSE, EIEF, IIES, UCL ×2, HEC Paris, Columbia, UdeM, Erasmus ×2, Mannheim, Geneva GSEM, IE, CUNEF, Bonn, SOFI, IFS, Dallas Fed, UBC, Amsterdam, UQAM, SF Fed, ESSEC, Bank of Canada, Helsinki, Warwick, LMU, Alberta, KCL, CSEF, IWH, Guelph, HEC Montréal Applied, Bristol.</t>
  </si>
  <si>
    <t>Same mechanism as EJM: one upload, reused across JOE applications.</t>
  </si>
  <si>
    <t>Registers on JOE; enters referees' own addresses.</t>
  </si>
  <si>
    <t>BIS (8 Nov) accepts applications ONLY through JOE. Also Texas A&amp;M, IDB, Princeton postdoc, Kansas City Fed, Janeway, SIEPR, LSE Finance, Imperial Finance.</t>
  </si>
  <si>
    <t>Interfolio</t>
  </si>
  <si>
    <t>Receives a request from Cristian's Interfolio Dossier for a generic confidential letter; uploads it once. Interfolio then supplies it to each Interfolio-based application.</t>
  </si>
  <si>
    <t>Creates a Dossier account and sends one generic request per referee.</t>
  </si>
  <si>
    <t>INSEAD (letters uploaded by the candidate by 10 Nov), HBS BGIE, NYU Stern, Yale SOM, Williams, Notre Dame, Columbia Business School, Chicago Booth (names only).</t>
  </si>
  <si>
    <t>AcademicJobsOnline (AJO)</t>
  </si>
  <si>
    <t>Uploads once via a single AJO link.</t>
  </si>
  <si>
    <t>Creates a candidate record on AJO.</t>
  </si>
  <si>
    <t>Stanford GSB, Wharton.</t>
  </si>
  <si>
    <t>Direct email to the institution</t>
  </si>
  <si>
    <t>Emails a SIGNED letter (PDF, in English) straight to the address given.</t>
  </si>
  <si>
    <t>Tells you the address and deadline.</t>
  </si>
  <si>
    <t>Banca d'Italia: personale.fellowship@bancaditalia.it by 12:00 CET on 13 Nov. ESG UQAM: roch.alexandre_f@uqam.ca by 1 Dec. EUI Max Weber: Reference.Fellow@eui.eu by 1 Mar 2027.</t>
  </si>
  <si>
    <t>Institution's own portal or request</t>
  </si>
  <si>
    <t>Responds to the institution's own emailed link or form.</t>
  </si>
  <si>
    <t>Submits the application; the institution contacts you.</t>
  </si>
  <si>
    <t>St John's Oxford (college requests two reports after the 23 Oct application; due noon 30 Oct), St Gallen, Kellogg, Bocconi, CBS Copenhagen, HEC Montréal (Qualtrics), NY Fed (Workday — a week's grace), Humboldt (reviewer forms), NBER (one letter, online form), IMF (requested after a preliminary interview; not from IMF staff).</t>
  </si>
  <si>
    <t>Names only — nothing to do now</t>
  </si>
  <si>
    <t>Nothing unless contacted later.</t>
  </si>
  <si>
    <t>Lists your name and contact details.</t>
  </si>
  <si>
    <t>EPFL/SFI, Oxford Saïd (EOI), UNIGE GFRI, UZH, Geneva GSEM, Chicago Booth, St John's (at submission).</t>
  </si>
  <si>
    <t>Caveat: the memo assumes LSE Economics faculty support (econ.facultysupport@lse.ac.uk) can act as upload proxy for referees. Whether that still covers Cristian after his visiting scholarship ended in July 2026 is unconfirmed — referees should expect to upload themselves unless told otherwise.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</si>
</sst>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d\ d\ mmm\ yyyy"/>
  </numFmts>
  <fonts count="9" x14ac:knownFonts="1">
    <font>
      <sz val="11"/>
      <color theme="1"/>
      <name val="Calibri"/>
      <family val="2"/>
      <charset val="1"/>
    </font>
    <font>
      <b/>
      <sz val="14"/>
      <name val="Arial"/>
      <family val="2"/>
    </font>
    <font>
      <i/>
      <sz val="9"/>
      <name val="Arial"/>
      <family val="2"/>
    </font>
    <font>
      <b/>
      <sz val="10"/>
      <color rgb="FFFFFFFF"/>
      <name val="Arial"/>
      <family val="2"/>
    </font>
    <font>
      <b/>
      <sz val="10"/>
      <name val="Arial"/>
      <family val="2"/>
    </font>
    <font>
      <sz val="10"/>
      <name val="Arial"/>
      <family val="2"/>
    </font>
    <font>
      <sz val="10"/>
      <color rgb="FF0000FF"/>
      <name val="Arial"/>
      <family val="2"/>
    </font>
    <font>
      <sz val="10"/>
      <color rgb="FF808080"/>
      <name val="Arial"/>
      <family val="2"/>
    </font>
    <font>
      <b/>
      <sz val="13"/>
      <name val="Arial"/>
      <family val="2"/>
    </font>
  </fonts>
  <fills count="6">
    <fill>
      <patternFill patternType="none"/>
    </fill>
    <fill>
      <patternFill patternType="gray125"/>
    </fill>
    <fill>
      <patternFill patternType="solid">
        <fgColor rgb="FF1F3864"/>
        <bgColor rgb="FF333333"/>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xfId="0"/>
    <xf numFmtId="0" fontId="2" fillId="0" borderId="0" xfId="0" applyFont="1" applyAlignment="1">
      <alignment wrapText="1"/>
    </xf>
    <xf numFmtId="0" fontId="5" fillId="0" borderId="0" xfId="0" applyFont="1" applyAlignment="1">
      <alignment vertical="top" wrapText="1"/>
    </xf>
    <xf numFmtId="0" fontId="2" fillId="0" borderId="0" xfId="0" applyFont="1" applyAlignment="1">
      <alignment vertical="top" wrapText="1"/>
    </xf>
    <xf numFmtId="0" fontId="1" fillId="0" borderId="0" xfId="0" applyFont="1"/>
    <xf numFmtId="0" fontId="3" fillId="2" borderId="1" xfId="0" applyFont="1" applyFill="1" applyBorder="1" applyAlignment="1">
      <alignment horizontal="center" vertical="top" wrapText="1"/>
    </xf>
    <xf numFmtId="0" fontId="4" fillId="3" borderId="1" xfId="0" applyFont="1" applyFill="1" applyBorder="1" applyAlignment="1">
      <alignment horizontal="center" vertical="top" wrapText="1"/>
    </xf>
    <xf numFmtId="0" fontId="5" fillId="0" borderId="1" xfId="0" applyFont="1" applyBorder="1" applyAlignment="1">
      <alignment vertical="top" wrapText="1"/>
    </xf>
    <xf numFmtId="164" fontId="5" fillId="0" borderId="1" xfId="0" applyNumberFormat="1" applyFont="1" applyBorder="1" applyAlignment="1">
      <alignment horizontal="center" vertical="top" wrapText="1"/>
    </xf>
    <xf numFmtId="1" fontId="5" fillId="0" borderId="1" xfId="0" applyNumberFormat="1" applyFont="1" applyBorder="1" applyAlignment="1">
      <alignment horizontal="center" vertical="top"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4" borderId="1" xfId="0" applyFont="1" applyFill="1" applyBorder="1" applyAlignment="1">
      <alignment horizontal="center" vertical="top" wrapText="1"/>
    </xf>
    <xf numFmtId="0" fontId="4" fillId="5" borderId="1" xfId="0" applyFont="1" applyFill="1" applyBorder="1" applyAlignment="1">
      <alignment horizontal="center" vertical="top" wrapText="1"/>
    </xf>
    <xf numFmtId="0" fontId="4" fillId="0" borderId="0" xfId="0" applyFont="1"/>
    <xf numFmtId="0" fontId="0" fillId="3" borderId="0" xfId="0" applyFill="1"/>
    <xf numFmtId="0" fontId="0" fillId="4" borderId="0" xfId="0" applyFill="1"/>
    <xf numFmtId="0" fontId="0" fillId="5" borderId="0" xfId="0" applyFill="1"/>
    <xf numFmtId="0" fontId="6" fillId="0" borderId="0" xfId="0" applyFont="1"/>
    <xf numFmtId="0" fontId="8" fillId="0" borderId="0" xfId="0" applyFont="1"/>
    <xf numFmtId="0" fontId="4" fillId="0" borderId="1" xfId="0" applyFont="1" applyBorder="1"/>
    <xf numFmtId="0" fontId="5" fillId="0" borderId="1" xfId="0" applyFont="1" applyBorder="1" applyAlignment="1">
      <alignment horizontal="center" vertical="top" wrapText="1"/>
    </xf>
    <xf numFmtId="0" fontId="3" fillId="2" borderId="1" xfId="0" applyFont="1" applyFill="1" applyBorder="1" applyAlignment="1">
      <alignment vertical="top" wrapText="1"/>
    </xf>
  </cellXfs>
  <cellStyles count="1">
    <cellStyle name="Normal" xfId="0" builtinId="0"/>
  </cellStyles>
  <dxfs count="2">
    <dxf>
      <font>
        <strike/>
        <color rgb="FF808080"/>
        <name val="Arial"/>
        <charset val="1"/>
      </font>
    </dxf>
    <dxf>
      <font>
        <b/>
        <color rgb="FF9C0006"/>
        <name val="Arial"/>
        <charset val="1"/>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96"/>
  <sheetViews>
    <sheetView tabSelected="1" zoomScaleNormal="100" workbookViewId="0">
      <pane xSplit="2" ySplit="4" topLeftCell="C5" activePane="bottomRight" state="frozen"/>
      <selection pane="topRight" activeCell="C1" sqref="C1"/>
      <selection pane="bottomLeft" activeCell="A5" sqref="A5"/>
      <selection pane="bottomRight"/>
    </sheetView>
  </sheetViews>
  <sheetFormatPr baseColWidth="10" defaultColWidth="8.6640625" defaultRowHeight="15" x14ac:dyDescent="0.2"/>
  <cols>
    <col min="1" max="1" width="8" customWidth="1"/>
    <col min="2" max="2" width="30" customWidth="1"/>
    <col min="3" max="3" width="38" customWidth="1"/>
    <col min="4" max="4" width="16" customWidth="1"/>
    <col min="5" max="5" width="12" customWidth="1"/>
    <col min="6" max="7" width="14" customWidth="1"/>
    <col min="8" max="8" width="10" customWidth="1"/>
    <col min="9" max="9" width="24" customWidth="1"/>
    <col min="10" max="10" width="30" customWidth="1"/>
    <col min="11" max="11" width="34" customWidth="1"/>
    <col min="12" max="15" width="11" customWidth="1"/>
    <col min="16" max="16" width="24" customWidth="1"/>
    <col min="17" max="17" width="16" customWidth="1"/>
    <col min="18" max="18" width="44" customWidth="1"/>
    <col min="19" max="19" width="7" hidden="1" customWidth="1"/>
  </cols>
  <sheetData>
    <row r="1" spans="1:19" ht="18" x14ac:dyDescent="0.2">
      <c r="A1" s="4" t="s">
        <v>0</v>
      </c>
    </row>
    <row r="2" spans="1:19" ht="30" customHeight="1" x14ac:dyDescent="0.2">
      <c r="A2" s="3" t="s">
        <v>1</v>
      </c>
      <c r="B2" s="3"/>
      <c r="C2" s="3"/>
      <c r="D2" s="3"/>
      <c r="E2" s="3"/>
      <c r="F2" s="3"/>
      <c r="G2" s="3"/>
      <c r="H2" s="3"/>
      <c r="I2" s="3"/>
      <c r="J2" s="3"/>
      <c r="K2" s="3"/>
      <c r="L2" s="3"/>
      <c r="M2" s="3"/>
      <c r="N2" s="3"/>
      <c r="O2" s="3"/>
      <c r="P2" s="3"/>
      <c r="Q2" s="3"/>
      <c r="R2" s="3"/>
      <c r="S2" s="3"/>
    </row>
    <row r="4" spans="1:19" ht="31.5" customHeight="1" x14ac:dyDescent="0.2">
      <c r="A4" s="5" t="s">
        <v>2</v>
      </c>
      <c r="B4" s="5" t="s">
        <v>3</v>
      </c>
      <c r="C4" s="5" t="s">
        <v>4</v>
      </c>
      <c r="D4" s="5" t="s">
        <v>5</v>
      </c>
      <c r="E4" s="5" t="s">
        <v>6</v>
      </c>
      <c r="F4" s="5" t="s">
        <v>7</v>
      </c>
      <c r="G4" s="5" t="s">
        <v>8</v>
      </c>
      <c r="H4" s="5" t="s">
        <v>9</v>
      </c>
      <c r="I4" s="5" t="s">
        <v>10</v>
      </c>
      <c r="J4" s="5" t="s">
        <v>11</v>
      </c>
      <c r="K4" s="5" t="s">
        <v>12</v>
      </c>
      <c r="L4" s="5" t="s">
        <v>13</v>
      </c>
      <c r="M4" s="5" t="s">
        <v>14</v>
      </c>
      <c r="N4" s="5" t="s">
        <v>15</v>
      </c>
      <c r="O4" s="5" t="s">
        <v>16</v>
      </c>
      <c r="P4" s="5" t="s">
        <v>17</v>
      </c>
      <c r="Q4" s="5" t="s">
        <v>18</v>
      </c>
      <c r="R4" s="5" t="s">
        <v>19</v>
      </c>
      <c r="S4" s="5" t="s">
        <v>20</v>
      </c>
    </row>
    <row r="5" spans="1:19" ht="48" customHeight="1" x14ac:dyDescent="0.2">
      <c r="A5" s="6" t="s">
        <v>21</v>
      </c>
      <c r="B5" s="7" t="s">
        <v>22</v>
      </c>
      <c r="C5" s="7" t="s">
        <v>23</v>
      </c>
      <c r="D5" s="7" t="s">
        <v>24</v>
      </c>
      <c r="E5" s="7" t="s">
        <v>25</v>
      </c>
      <c r="F5" s="8">
        <v>46318</v>
      </c>
      <c r="G5" s="8">
        <v>46325</v>
      </c>
      <c r="H5" s="9">
        <f t="shared" ref="H5:H36" ca="1" si="0">IF(G5&lt;&gt;"",G5-TODAY(),IF(F5&lt;&gt;"",F5-TODAY(),""))</f>
        <v>11</v>
      </c>
      <c r="I5" s="7" t="s">
        <v>26</v>
      </c>
      <c r="J5" s="7" t="s">
        <v>27</v>
      </c>
      <c r="K5" s="7" t="s">
        <v>28</v>
      </c>
      <c r="L5" s="10" t="s">
        <v>29</v>
      </c>
      <c r="M5" s="10" t="s">
        <v>30</v>
      </c>
      <c r="N5" s="10"/>
      <c r="O5" s="10"/>
      <c r="P5" s="11" t="str">
        <f t="shared" ref="P5:P36" si="1">_xlfn.TEXTJOIN(", ",TRUE(),L5:O5)</f>
        <v>Reis, Benigno</v>
      </c>
      <c r="Q5" s="10" t="s">
        <v>31</v>
      </c>
      <c r="R5" s="7" t="s">
        <v>32</v>
      </c>
      <c r="S5" s="7"/>
    </row>
    <row r="6" spans="1:19" ht="48" customHeight="1" x14ac:dyDescent="0.2">
      <c r="A6" s="6" t="s">
        <v>21</v>
      </c>
      <c r="B6" s="7" t="s">
        <v>33</v>
      </c>
      <c r="C6" s="7" t="s">
        <v>34</v>
      </c>
      <c r="D6" s="7" t="s">
        <v>35</v>
      </c>
      <c r="E6" s="7" t="s">
        <v>36</v>
      </c>
      <c r="F6" s="8">
        <v>46326</v>
      </c>
      <c r="G6" s="8">
        <v>46326</v>
      </c>
      <c r="H6" s="9">
        <f t="shared" ca="1" si="0"/>
        <v>12</v>
      </c>
      <c r="I6" s="7">
        <v>2</v>
      </c>
      <c r="J6" s="7" t="s">
        <v>37</v>
      </c>
      <c r="K6" s="7" t="s">
        <v>38</v>
      </c>
      <c r="L6" s="10" t="s">
        <v>29</v>
      </c>
      <c r="M6" s="10" t="s">
        <v>30</v>
      </c>
      <c r="N6" s="10"/>
      <c r="O6" s="10"/>
      <c r="P6" s="11" t="str">
        <f t="shared" si="1"/>
        <v>Reis, Benigno</v>
      </c>
      <c r="Q6" s="10" t="s">
        <v>39</v>
      </c>
      <c r="R6" s="7" t="s">
        <v>40</v>
      </c>
      <c r="S6" s="7"/>
    </row>
    <row r="7" spans="1:19" ht="48" customHeight="1" x14ac:dyDescent="0.2">
      <c r="A7" s="6" t="s">
        <v>21</v>
      </c>
      <c r="B7" s="7" t="s">
        <v>41</v>
      </c>
      <c r="C7" s="7" t="s">
        <v>42</v>
      </c>
      <c r="D7" s="7" t="s">
        <v>43</v>
      </c>
      <c r="E7" s="7" t="s">
        <v>44</v>
      </c>
      <c r="F7" s="8">
        <v>46327</v>
      </c>
      <c r="G7" s="8">
        <v>46327</v>
      </c>
      <c r="H7" s="9">
        <f t="shared" ca="1" si="0"/>
        <v>13</v>
      </c>
      <c r="I7" s="7">
        <v>3</v>
      </c>
      <c r="J7" s="7" t="s">
        <v>45</v>
      </c>
      <c r="K7" s="7" t="s">
        <v>46</v>
      </c>
      <c r="L7" s="10" t="s">
        <v>29</v>
      </c>
      <c r="M7" s="10" t="s">
        <v>30</v>
      </c>
      <c r="N7" s="10" t="s">
        <v>47</v>
      </c>
      <c r="O7" s="10"/>
      <c r="P7" s="11" t="str">
        <f t="shared" si="1"/>
        <v>Reis, Benigno, Hofmann</v>
      </c>
      <c r="Q7" s="10" t="s">
        <v>48</v>
      </c>
      <c r="R7" s="7" t="s">
        <v>49</v>
      </c>
      <c r="S7" s="7"/>
    </row>
    <row r="8" spans="1:19" ht="48" customHeight="1" x14ac:dyDescent="0.2">
      <c r="A8" s="6" t="s">
        <v>21</v>
      </c>
      <c r="B8" s="7" t="s">
        <v>50</v>
      </c>
      <c r="C8" s="7" t="s">
        <v>51</v>
      </c>
      <c r="D8" s="7" t="s">
        <v>52</v>
      </c>
      <c r="E8" s="7" t="s">
        <v>53</v>
      </c>
      <c r="F8" s="8">
        <v>46327</v>
      </c>
      <c r="G8" s="8">
        <v>46327</v>
      </c>
      <c r="H8" s="9">
        <f t="shared" ca="1" si="0"/>
        <v>13</v>
      </c>
      <c r="I8" s="7">
        <v>3</v>
      </c>
      <c r="J8" s="7" t="s">
        <v>54</v>
      </c>
      <c r="K8" s="7" t="s">
        <v>55</v>
      </c>
      <c r="L8" s="10" t="s">
        <v>29</v>
      </c>
      <c r="M8" s="10" t="s">
        <v>30</v>
      </c>
      <c r="N8" s="10" t="s">
        <v>56</v>
      </c>
      <c r="O8" s="10"/>
      <c r="P8" s="11" t="str">
        <f t="shared" si="1"/>
        <v>Reis, Benigno, Chaudhary</v>
      </c>
      <c r="Q8" s="10" t="s">
        <v>39</v>
      </c>
      <c r="R8" s="7" t="s">
        <v>57</v>
      </c>
      <c r="S8" s="7"/>
    </row>
    <row r="9" spans="1:19" ht="48" customHeight="1" x14ac:dyDescent="0.2">
      <c r="A9" s="6" t="s">
        <v>21</v>
      </c>
      <c r="B9" s="7" t="s">
        <v>58</v>
      </c>
      <c r="C9" s="7" t="s">
        <v>59</v>
      </c>
      <c r="D9" s="7" t="s">
        <v>60</v>
      </c>
      <c r="E9" s="7" t="s">
        <v>36</v>
      </c>
      <c r="F9" s="8">
        <v>46327</v>
      </c>
      <c r="G9" s="8">
        <v>46327</v>
      </c>
      <c r="H9" s="9">
        <f t="shared" ca="1" si="0"/>
        <v>13</v>
      </c>
      <c r="I9" s="7" t="s">
        <v>61</v>
      </c>
      <c r="J9" s="7" t="s">
        <v>62</v>
      </c>
      <c r="K9" s="7" t="s">
        <v>63</v>
      </c>
      <c r="L9" s="10" t="s">
        <v>29</v>
      </c>
      <c r="M9" s="10" t="s">
        <v>30</v>
      </c>
      <c r="N9" s="10" t="s">
        <v>47</v>
      </c>
      <c r="O9" s="10"/>
      <c r="P9" s="11" t="str">
        <f t="shared" si="1"/>
        <v>Reis, Benigno, Hofmann</v>
      </c>
      <c r="Q9" s="10" t="s">
        <v>48</v>
      </c>
      <c r="R9" s="7"/>
      <c r="S9" s="7"/>
    </row>
    <row r="10" spans="1:19" ht="48" customHeight="1" x14ac:dyDescent="0.2">
      <c r="A10" s="6" t="s">
        <v>21</v>
      </c>
      <c r="B10" s="7" t="s">
        <v>64</v>
      </c>
      <c r="C10" s="7" t="s">
        <v>65</v>
      </c>
      <c r="D10" s="7" t="s">
        <v>66</v>
      </c>
      <c r="E10" s="7" t="s">
        <v>53</v>
      </c>
      <c r="F10" s="8">
        <v>46327</v>
      </c>
      <c r="G10" s="8"/>
      <c r="H10" s="9">
        <f t="shared" ca="1" si="0"/>
        <v>13</v>
      </c>
      <c r="I10" s="7" t="s">
        <v>67</v>
      </c>
      <c r="J10" s="7" t="s">
        <v>68</v>
      </c>
      <c r="K10" s="7" t="s">
        <v>69</v>
      </c>
      <c r="L10" s="10" t="s">
        <v>29</v>
      </c>
      <c r="M10" s="10" t="s">
        <v>30</v>
      </c>
      <c r="N10" s="10" t="s">
        <v>56</v>
      </c>
      <c r="O10" s="10"/>
      <c r="P10" s="11" t="str">
        <f t="shared" si="1"/>
        <v>Reis, Benigno, Chaudhary</v>
      </c>
      <c r="Q10" s="10" t="s">
        <v>31</v>
      </c>
      <c r="R10" s="7" t="s">
        <v>70</v>
      </c>
      <c r="S10" s="7"/>
    </row>
    <row r="11" spans="1:19" ht="48" customHeight="1" x14ac:dyDescent="0.2">
      <c r="A11" s="6" t="s">
        <v>21</v>
      </c>
      <c r="B11" s="7" t="s">
        <v>71</v>
      </c>
      <c r="C11" s="7" t="s">
        <v>72</v>
      </c>
      <c r="D11" s="7" t="s">
        <v>73</v>
      </c>
      <c r="E11" s="7" t="s">
        <v>36</v>
      </c>
      <c r="F11" s="8">
        <v>46329</v>
      </c>
      <c r="G11" s="8">
        <v>46329</v>
      </c>
      <c r="H11" s="9">
        <f t="shared" ca="1" si="0"/>
        <v>15</v>
      </c>
      <c r="I11" s="7">
        <v>3</v>
      </c>
      <c r="J11" s="7" t="s">
        <v>74</v>
      </c>
      <c r="K11" s="7" t="s">
        <v>75</v>
      </c>
      <c r="L11" s="10" t="s">
        <v>29</v>
      </c>
      <c r="M11" s="10" t="s">
        <v>30</v>
      </c>
      <c r="N11" s="10" t="s">
        <v>47</v>
      </c>
      <c r="O11" s="10"/>
      <c r="P11" s="11" t="str">
        <f t="shared" si="1"/>
        <v>Reis, Benigno, Hofmann</v>
      </c>
      <c r="Q11" s="10" t="s">
        <v>48</v>
      </c>
      <c r="R11" s="7" t="s">
        <v>76</v>
      </c>
      <c r="S11" s="7"/>
    </row>
    <row r="12" spans="1:19" ht="48" customHeight="1" x14ac:dyDescent="0.2">
      <c r="A12" s="6" t="s">
        <v>21</v>
      </c>
      <c r="B12" s="7" t="s">
        <v>77</v>
      </c>
      <c r="C12" s="7" t="s">
        <v>78</v>
      </c>
      <c r="D12" s="7" t="s">
        <v>79</v>
      </c>
      <c r="E12" s="7" t="s">
        <v>80</v>
      </c>
      <c r="F12" s="8">
        <v>46332</v>
      </c>
      <c r="G12" s="8">
        <v>46332</v>
      </c>
      <c r="H12" s="9">
        <f t="shared" ca="1" si="0"/>
        <v>18</v>
      </c>
      <c r="I12" s="7" t="s">
        <v>81</v>
      </c>
      <c r="J12" s="7" t="s">
        <v>82</v>
      </c>
      <c r="K12" s="7" t="s">
        <v>83</v>
      </c>
      <c r="L12" s="10" t="s">
        <v>29</v>
      </c>
      <c r="M12" s="10" t="s">
        <v>30</v>
      </c>
      <c r="N12" s="10" t="s">
        <v>47</v>
      </c>
      <c r="O12" s="10"/>
      <c r="P12" s="11" t="str">
        <f t="shared" si="1"/>
        <v>Reis, Benigno, Hofmann</v>
      </c>
      <c r="Q12" s="10" t="s">
        <v>39</v>
      </c>
      <c r="R12" s="7" t="s">
        <v>84</v>
      </c>
      <c r="S12" s="7"/>
    </row>
    <row r="13" spans="1:19" ht="48" customHeight="1" x14ac:dyDescent="0.2">
      <c r="A13" s="6" t="s">
        <v>21</v>
      </c>
      <c r="B13" s="7" t="s">
        <v>85</v>
      </c>
      <c r="C13" s="7" t="s">
        <v>86</v>
      </c>
      <c r="D13" s="7" t="s">
        <v>24</v>
      </c>
      <c r="E13" s="7" t="s">
        <v>53</v>
      </c>
      <c r="F13" s="8">
        <v>46332</v>
      </c>
      <c r="G13" s="8"/>
      <c r="H13" s="9">
        <f t="shared" ca="1" si="0"/>
        <v>18</v>
      </c>
      <c r="I13" s="7" t="s">
        <v>87</v>
      </c>
      <c r="J13" s="7" t="s">
        <v>88</v>
      </c>
      <c r="K13" s="7" t="s">
        <v>89</v>
      </c>
      <c r="L13" s="10" t="s">
        <v>29</v>
      </c>
      <c r="M13" s="10" t="s">
        <v>30</v>
      </c>
      <c r="N13" s="10" t="s">
        <v>56</v>
      </c>
      <c r="O13" s="10"/>
      <c r="P13" s="11" t="str">
        <f t="shared" si="1"/>
        <v>Reis, Benigno, Chaudhary</v>
      </c>
      <c r="Q13" s="10" t="s">
        <v>90</v>
      </c>
      <c r="R13" s="7" t="s">
        <v>91</v>
      </c>
      <c r="S13" s="7"/>
    </row>
    <row r="14" spans="1:19" ht="48" customHeight="1" x14ac:dyDescent="0.2">
      <c r="A14" s="12" t="s">
        <v>92</v>
      </c>
      <c r="B14" s="7" t="s">
        <v>93</v>
      </c>
      <c r="C14" s="7" t="s">
        <v>94</v>
      </c>
      <c r="D14" s="7" t="s">
        <v>95</v>
      </c>
      <c r="E14" s="7" t="s">
        <v>36</v>
      </c>
      <c r="F14" s="8">
        <v>46333</v>
      </c>
      <c r="G14" s="8">
        <v>46333</v>
      </c>
      <c r="H14" s="9">
        <f t="shared" ca="1" si="0"/>
        <v>19</v>
      </c>
      <c r="I14" s="7" t="s">
        <v>61</v>
      </c>
      <c r="J14" s="7" t="s">
        <v>96</v>
      </c>
      <c r="K14" s="7"/>
      <c r="L14" s="10" t="s">
        <v>29</v>
      </c>
      <c r="M14" s="10" t="s">
        <v>30</v>
      </c>
      <c r="N14" s="10" t="s">
        <v>47</v>
      </c>
      <c r="O14" s="10"/>
      <c r="P14" s="11" t="str">
        <f t="shared" si="1"/>
        <v>Reis, Benigno, Hofmann</v>
      </c>
      <c r="Q14" s="10" t="s">
        <v>48</v>
      </c>
      <c r="R14" s="7" t="s">
        <v>97</v>
      </c>
      <c r="S14" s="7"/>
    </row>
    <row r="15" spans="1:19" ht="48" customHeight="1" x14ac:dyDescent="0.2">
      <c r="A15" s="6" t="s">
        <v>21</v>
      </c>
      <c r="B15" s="7" t="s">
        <v>98</v>
      </c>
      <c r="C15" s="7" t="s">
        <v>99</v>
      </c>
      <c r="D15" s="7" t="s">
        <v>100</v>
      </c>
      <c r="E15" s="7" t="s">
        <v>44</v>
      </c>
      <c r="F15" s="8">
        <v>46327</v>
      </c>
      <c r="G15" s="8">
        <v>46334</v>
      </c>
      <c r="H15" s="9">
        <f t="shared" ca="1" si="0"/>
        <v>20</v>
      </c>
      <c r="I15" s="7">
        <v>3</v>
      </c>
      <c r="J15" s="7" t="s">
        <v>101</v>
      </c>
      <c r="K15" s="7" t="s">
        <v>102</v>
      </c>
      <c r="L15" s="10" t="s">
        <v>29</v>
      </c>
      <c r="M15" s="10" t="s">
        <v>30</v>
      </c>
      <c r="N15" s="10" t="s">
        <v>47</v>
      </c>
      <c r="O15" s="10"/>
      <c r="P15" s="11" t="str">
        <f t="shared" si="1"/>
        <v>Reis, Benigno, Hofmann</v>
      </c>
      <c r="Q15" s="10" t="s">
        <v>39</v>
      </c>
      <c r="R15" s="7" t="s">
        <v>103</v>
      </c>
      <c r="S15" s="7"/>
    </row>
    <row r="16" spans="1:19" ht="48" customHeight="1" x14ac:dyDescent="0.2">
      <c r="A16" s="6" t="s">
        <v>21</v>
      </c>
      <c r="B16" s="7" t="s">
        <v>104</v>
      </c>
      <c r="C16" s="7" t="s">
        <v>105</v>
      </c>
      <c r="D16" s="7" t="s">
        <v>79</v>
      </c>
      <c r="E16" s="7" t="s">
        <v>44</v>
      </c>
      <c r="F16" s="8">
        <v>46334</v>
      </c>
      <c r="G16" s="8">
        <v>46334</v>
      </c>
      <c r="H16" s="9">
        <f t="shared" ca="1" si="0"/>
        <v>20</v>
      </c>
      <c r="I16" s="7">
        <v>3</v>
      </c>
      <c r="J16" s="7" t="s">
        <v>106</v>
      </c>
      <c r="K16" s="7" t="s">
        <v>107</v>
      </c>
      <c r="L16" s="10" t="s">
        <v>29</v>
      </c>
      <c r="M16" s="10" t="s">
        <v>30</v>
      </c>
      <c r="N16" s="10" t="s">
        <v>47</v>
      </c>
      <c r="O16" s="10"/>
      <c r="P16" s="11" t="str">
        <f t="shared" si="1"/>
        <v>Reis, Benigno, Hofmann</v>
      </c>
      <c r="Q16" s="10" t="s">
        <v>48</v>
      </c>
      <c r="R16" s="7" t="s">
        <v>108</v>
      </c>
      <c r="S16" s="7"/>
    </row>
    <row r="17" spans="1:19" ht="48" customHeight="1" x14ac:dyDescent="0.2">
      <c r="A17" s="6" t="s">
        <v>21</v>
      </c>
      <c r="B17" s="7" t="s">
        <v>109</v>
      </c>
      <c r="C17" s="7" t="s">
        <v>110</v>
      </c>
      <c r="D17" s="7" t="s">
        <v>111</v>
      </c>
      <c r="E17" s="7" t="s">
        <v>36</v>
      </c>
      <c r="F17" s="8">
        <v>46334</v>
      </c>
      <c r="G17" s="8">
        <v>46334</v>
      </c>
      <c r="H17" s="9">
        <f t="shared" ca="1" si="0"/>
        <v>20</v>
      </c>
      <c r="I17" s="7">
        <v>3</v>
      </c>
      <c r="J17" s="7" t="s">
        <v>112</v>
      </c>
      <c r="K17" s="7" t="s">
        <v>113</v>
      </c>
      <c r="L17" s="10" t="s">
        <v>29</v>
      </c>
      <c r="M17" s="10" t="s">
        <v>30</v>
      </c>
      <c r="N17" s="10" t="s">
        <v>47</v>
      </c>
      <c r="O17" s="10"/>
      <c r="P17" s="11" t="str">
        <f t="shared" si="1"/>
        <v>Reis, Benigno, Hofmann</v>
      </c>
      <c r="Q17" s="10" t="s">
        <v>48</v>
      </c>
      <c r="R17" s="7"/>
      <c r="S17" s="7"/>
    </row>
    <row r="18" spans="1:19" ht="48" customHeight="1" x14ac:dyDescent="0.2">
      <c r="A18" s="12" t="s">
        <v>92</v>
      </c>
      <c r="B18" s="7" t="s">
        <v>114</v>
      </c>
      <c r="C18" s="7" t="s">
        <v>115</v>
      </c>
      <c r="D18" s="7" t="s">
        <v>116</v>
      </c>
      <c r="E18" s="7" t="s">
        <v>36</v>
      </c>
      <c r="F18" s="8">
        <v>46334</v>
      </c>
      <c r="G18" s="8">
        <v>46334</v>
      </c>
      <c r="H18" s="9">
        <f t="shared" ca="1" si="0"/>
        <v>20</v>
      </c>
      <c r="I18" s="7">
        <v>2</v>
      </c>
      <c r="J18" s="7" t="s">
        <v>117</v>
      </c>
      <c r="K18" s="7"/>
      <c r="L18" s="10" t="s">
        <v>29</v>
      </c>
      <c r="M18" s="10" t="s">
        <v>30</v>
      </c>
      <c r="N18" s="10"/>
      <c r="O18" s="10"/>
      <c r="P18" s="11" t="str">
        <f t="shared" si="1"/>
        <v>Reis, Benigno</v>
      </c>
      <c r="Q18" s="10" t="s">
        <v>39</v>
      </c>
      <c r="R18" s="7"/>
      <c r="S18" s="7"/>
    </row>
    <row r="19" spans="1:19" ht="48" customHeight="1" x14ac:dyDescent="0.2">
      <c r="A19" s="6" t="s">
        <v>21</v>
      </c>
      <c r="B19" s="7" t="s">
        <v>118</v>
      </c>
      <c r="C19" s="7" t="s">
        <v>119</v>
      </c>
      <c r="D19" s="7" t="s">
        <v>120</v>
      </c>
      <c r="E19" s="7" t="s">
        <v>25</v>
      </c>
      <c r="F19" s="8">
        <v>46335</v>
      </c>
      <c r="G19" s="8">
        <v>46335</v>
      </c>
      <c r="H19" s="9">
        <f t="shared" ca="1" si="0"/>
        <v>21</v>
      </c>
      <c r="I19" s="7" t="s">
        <v>121</v>
      </c>
      <c r="J19" s="7" t="s">
        <v>122</v>
      </c>
      <c r="K19" s="7" t="s">
        <v>123</v>
      </c>
      <c r="L19" s="10" t="s">
        <v>29</v>
      </c>
      <c r="M19" s="10" t="s">
        <v>30</v>
      </c>
      <c r="N19" s="10"/>
      <c r="O19" s="10"/>
      <c r="P19" s="11" t="str">
        <f t="shared" si="1"/>
        <v>Reis, Benigno</v>
      </c>
      <c r="Q19" s="10" t="s">
        <v>39</v>
      </c>
      <c r="R19" s="7" t="s">
        <v>124</v>
      </c>
      <c r="S19" s="7"/>
    </row>
    <row r="20" spans="1:19" ht="48" customHeight="1" x14ac:dyDescent="0.2">
      <c r="A20" s="12" t="s">
        <v>92</v>
      </c>
      <c r="B20" s="7" t="s">
        <v>125</v>
      </c>
      <c r="C20" s="7" t="s">
        <v>126</v>
      </c>
      <c r="D20" s="7" t="s">
        <v>127</v>
      </c>
      <c r="E20" s="7" t="s">
        <v>36</v>
      </c>
      <c r="F20" s="8">
        <v>46335</v>
      </c>
      <c r="G20" s="8">
        <v>46335</v>
      </c>
      <c r="H20" s="9">
        <f t="shared" ca="1" si="0"/>
        <v>21</v>
      </c>
      <c r="I20" s="7" t="s">
        <v>61</v>
      </c>
      <c r="J20" s="7" t="s">
        <v>128</v>
      </c>
      <c r="K20" s="7" t="s">
        <v>129</v>
      </c>
      <c r="L20" s="10" t="s">
        <v>29</v>
      </c>
      <c r="M20" s="10" t="s">
        <v>30</v>
      </c>
      <c r="N20" s="10" t="s">
        <v>47</v>
      </c>
      <c r="O20" s="10"/>
      <c r="P20" s="11" t="str">
        <f t="shared" si="1"/>
        <v>Reis, Benigno, Hofmann</v>
      </c>
      <c r="Q20" s="10" t="s">
        <v>48</v>
      </c>
      <c r="R20" s="7"/>
      <c r="S20" s="7"/>
    </row>
    <row r="21" spans="1:19" ht="48" customHeight="1" x14ac:dyDescent="0.2">
      <c r="A21" s="6" t="s">
        <v>21</v>
      </c>
      <c r="B21" s="7" t="s">
        <v>130</v>
      </c>
      <c r="C21" s="7" t="s">
        <v>51</v>
      </c>
      <c r="D21" s="7" t="s">
        <v>131</v>
      </c>
      <c r="E21" s="7" t="s">
        <v>53</v>
      </c>
      <c r="F21" s="8">
        <v>46336</v>
      </c>
      <c r="G21" s="8">
        <v>46336</v>
      </c>
      <c r="H21" s="9">
        <f t="shared" ca="1" si="0"/>
        <v>22</v>
      </c>
      <c r="I21" s="7" t="s">
        <v>132</v>
      </c>
      <c r="J21" s="7" t="s">
        <v>133</v>
      </c>
      <c r="K21" s="7" t="s">
        <v>134</v>
      </c>
      <c r="L21" s="10" t="s">
        <v>29</v>
      </c>
      <c r="M21" s="10" t="s">
        <v>30</v>
      </c>
      <c r="N21" s="10" t="s">
        <v>56</v>
      </c>
      <c r="O21" s="10"/>
      <c r="P21" s="11" t="str">
        <f t="shared" si="1"/>
        <v>Reis, Benigno, Chaudhary</v>
      </c>
      <c r="Q21" s="10" t="s">
        <v>48</v>
      </c>
      <c r="R21" s="7" t="s">
        <v>135</v>
      </c>
      <c r="S21" s="7"/>
    </row>
    <row r="22" spans="1:19" ht="48" customHeight="1" x14ac:dyDescent="0.2">
      <c r="A22" s="12" t="s">
        <v>92</v>
      </c>
      <c r="B22" s="7" t="s">
        <v>136</v>
      </c>
      <c r="C22" s="7" t="s">
        <v>137</v>
      </c>
      <c r="D22" s="7" t="s">
        <v>138</v>
      </c>
      <c r="E22" s="7" t="s">
        <v>36</v>
      </c>
      <c r="F22" s="8">
        <v>46336</v>
      </c>
      <c r="G22" s="8">
        <v>46336</v>
      </c>
      <c r="H22" s="9">
        <f t="shared" ca="1" si="0"/>
        <v>22</v>
      </c>
      <c r="I22" s="7">
        <v>3</v>
      </c>
      <c r="J22" s="7" t="s">
        <v>139</v>
      </c>
      <c r="K22" s="7"/>
      <c r="L22" s="10" t="s">
        <v>29</v>
      </c>
      <c r="M22" s="10" t="s">
        <v>30</v>
      </c>
      <c r="N22" s="10" t="s">
        <v>47</v>
      </c>
      <c r="O22" s="10"/>
      <c r="P22" s="11" t="str">
        <f t="shared" si="1"/>
        <v>Reis, Benigno, Hofmann</v>
      </c>
      <c r="Q22" s="10" t="s">
        <v>48</v>
      </c>
      <c r="R22" s="7" t="s">
        <v>97</v>
      </c>
      <c r="S22" s="7"/>
    </row>
    <row r="23" spans="1:19" ht="48" customHeight="1" x14ac:dyDescent="0.2">
      <c r="A23" s="6" t="s">
        <v>21</v>
      </c>
      <c r="B23" s="7" t="s">
        <v>140</v>
      </c>
      <c r="C23" s="7" t="s">
        <v>141</v>
      </c>
      <c r="D23" s="7" t="s">
        <v>142</v>
      </c>
      <c r="E23" s="7" t="s">
        <v>44</v>
      </c>
      <c r="F23" s="8">
        <v>46339</v>
      </c>
      <c r="G23" s="8">
        <v>46339</v>
      </c>
      <c r="H23" s="9">
        <f t="shared" ca="1" si="0"/>
        <v>25</v>
      </c>
      <c r="I23" s="7" t="s">
        <v>143</v>
      </c>
      <c r="J23" s="7" t="s">
        <v>144</v>
      </c>
      <c r="K23" s="7" t="s">
        <v>145</v>
      </c>
      <c r="L23" s="10" t="s">
        <v>29</v>
      </c>
      <c r="M23" s="10" t="s">
        <v>30</v>
      </c>
      <c r="N23" s="10" t="s">
        <v>47</v>
      </c>
      <c r="O23" s="10"/>
      <c r="P23" s="11" t="str">
        <f t="shared" si="1"/>
        <v>Reis, Benigno, Hofmann</v>
      </c>
      <c r="Q23" s="10" t="s">
        <v>39</v>
      </c>
      <c r="R23" s="7" t="s">
        <v>146</v>
      </c>
      <c r="S23" s="7"/>
    </row>
    <row r="24" spans="1:19" ht="48" customHeight="1" x14ac:dyDescent="0.2">
      <c r="A24" s="6" t="s">
        <v>21</v>
      </c>
      <c r="B24" s="7" t="s">
        <v>147</v>
      </c>
      <c r="C24" s="7" t="s">
        <v>148</v>
      </c>
      <c r="D24" s="7" t="s">
        <v>142</v>
      </c>
      <c r="E24" s="7" t="s">
        <v>36</v>
      </c>
      <c r="F24" s="8">
        <v>46339</v>
      </c>
      <c r="G24" s="8">
        <v>46339</v>
      </c>
      <c r="H24" s="9">
        <f t="shared" ca="1" si="0"/>
        <v>25</v>
      </c>
      <c r="I24" s="7">
        <v>3</v>
      </c>
      <c r="J24" s="7" t="s">
        <v>149</v>
      </c>
      <c r="K24" s="7" t="s">
        <v>150</v>
      </c>
      <c r="L24" s="10" t="s">
        <v>29</v>
      </c>
      <c r="M24" s="10" t="s">
        <v>30</v>
      </c>
      <c r="N24" s="10" t="s">
        <v>47</v>
      </c>
      <c r="O24" s="10"/>
      <c r="P24" s="11" t="str">
        <f t="shared" si="1"/>
        <v>Reis, Benigno, Hofmann</v>
      </c>
      <c r="Q24" s="10" t="s">
        <v>48</v>
      </c>
      <c r="R24" s="7"/>
      <c r="S24" s="7"/>
    </row>
    <row r="25" spans="1:19" ht="48" customHeight="1" x14ac:dyDescent="0.2">
      <c r="A25" s="12" t="s">
        <v>92</v>
      </c>
      <c r="B25" s="7" t="s">
        <v>151</v>
      </c>
      <c r="C25" s="7" t="s">
        <v>152</v>
      </c>
      <c r="D25" s="7" t="s">
        <v>153</v>
      </c>
      <c r="E25" s="7" t="s">
        <v>36</v>
      </c>
      <c r="F25" s="8">
        <v>46339</v>
      </c>
      <c r="G25" s="8">
        <v>46339</v>
      </c>
      <c r="H25" s="9">
        <f t="shared" ca="1" si="0"/>
        <v>25</v>
      </c>
      <c r="I25" s="7">
        <v>3</v>
      </c>
      <c r="J25" s="7" t="s">
        <v>154</v>
      </c>
      <c r="K25" s="7" t="s">
        <v>155</v>
      </c>
      <c r="L25" s="10" t="s">
        <v>29</v>
      </c>
      <c r="M25" s="10" t="s">
        <v>30</v>
      </c>
      <c r="N25" s="10" t="s">
        <v>47</v>
      </c>
      <c r="O25" s="10"/>
      <c r="P25" s="11" t="str">
        <f t="shared" si="1"/>
        <v>Reis, Benigno, Hofmann</v>
      </c>
      <c r="Q25" s="10" t="s">
        <v>48</v>
      </c>
      <c r="R25" s="7"/>
      <c r="S25" s="7"/>
    </row>
    <row r="26" spans="1:19" ht="48" customHeight="1" x14ac:dyDescent="0.2">
      <c r="A26" s="12" t="s">
        <v>92</v>
      </c>
      <c r="B26" s="7" t="s">
        <v>156</v>
      </c>
      <c r="C26" s="7" t="s">
        <v>157</v>
      </c>
      <c r="D26" s="7" t="s">
        <v>73</v>
      </c>
      <c r="E26" s="7" t="s">
        <v>36</v>
      </c>
      <c r="F26" s="8">
        <v>46339</v>
      </c>
      <c r="G26" s="8">
        <v>46339</v>
      </c>
      <c r="H26" s="9">
        <f t="shared" ca="1" si="0"/>
        <v>25</v>
      </c>
      <c r="I26" s="7">
        <v>3</v>
      </c>
      <c r="J26" s="7" t="s">
        <v>158</v>
      </c>
      <c r="K26" s="7" t="s">
        <v>159</v>
      </c>
      <c r="L26" s="10" t="s">
        <v>29</v>
      </c>
      <c r="M26" s="10" t="s">
        <v>30</v>
      </c>
      <c r="N26" s="10" t="s">
        <v>47</v>
      </c>
      <c r="O26" s="10"/>
      <c r="P26" s="11" t="str">
        <f t="shared" si="1"/>
        <v>Reis, Benigno, Hofmann</v>
      </c>
      <c r="Q26" s="10" t="s">
        <v>48</v>
      </c>
      <c r="R26" s="7"/>
      <c r="S26" s="7"/>
    </row>
    <row r="27" spans="1:19" ht="48" customHeight="1" x14ac:dyDescent="0.2">
      <c r="A27" s="12" t="s">
        <v>92</v>
      </c>
      <c r="B27" s="7" t="s">
        <v>160</v>
      </c>
      <c r="C27" s="7" t="s">
        <v>161</v>
      </c>
      <c r="D27" s="7" t="s">
        <v>73</v>
      </c>
      <c r="E27" s="7" t="s">
        <v>53</v>
      </c>
      <c r="F27" s="8">
        <v>46339</v>
      </c>
      <c r="G27" s="8">
        <v>46339</v>
      </c>
      <c r="H27" s="9">
        <f t="shared" ca="1" si="0"/>
        <v>25</v>
      </c>
      <c r="I27" s="7">
        <v>3</v>
      </c>
      <c r="J27" s="7" t="s">
        <v>162</v>
      </c>
      <c r="K27" s="7" t="s">
        <v>163</v>
      </c>
      <c r="L27" s="10" t="s">
        <v>29</v>
      </c>
      <c r="M27" s="10" t="s">
        <v>30</v>
      </c>
      <c r="N27" s="10" t="s">
        <v>56</v>
      </c>
      <c r="O27" s="10"/>
      <c r="P27" s="11" t="str">
        <f t="shared" si="1"/>
        <v>Reis, Benigno, Chaudhary</v>
      </c>
      <c r="Q27" s="10" t="s">
        <v>48</v>
      </c>
      <c r="R27" s="7"/>
      <c r="S27" s="7"/>
    </row>
    <row r="28" spans="1:19" ht="48" customHeight="1" x14ac:dyDescent="0.2">
      <c r="A28" s="12" t="s">
        <v>92</v>
      </c>
      <c r="B28" s="7" t="s">
        <v>164</v>
      </c>
      <c r="C28" s="7" t="s">
        <v>51</v>
      </c>
      <c r="D28" s="7" t="s">
        <v>165</v>
      </c>
      <c r="E28" s="7" t="s">
        <v>53</v>
      </c>
      <c r="F28" s="8">
        <v>46339</v>
      </c>
      <c r="G28" s="8">
        <v>46339</v>
      </c>
      <c r="H28" s="9">
        <f t="shared" ca="1" si="0"/>
        <v>25</v>
      </c>
      <c r="I28" s="7">
        <v>3</v>
      </c>
      <c r="J28" s="7" t="s">
        <v>166</v>
      </c>
      <c r="K28" s="7" t="s">
        <v>167</v>
      </c>
      <c r="L28" s="10" t="s">
        <v>29</v>
      </c>
      <c r="M28" s="10" t="s">
        <v>30</v>
      </c>
      <c r="N28" s="10" t="s">
        <v>56</v>
      </c>
      <c r="O28" s="10"/>
      <c r="P28" s="11" t="str">
        <f t="shared" si="1"/>
        <v>Reis, Benigno, Chaudhary</v>
      </c>
      <c r="Q28" s="10" t="s">
        <v>48</v>
      </c>
      <c r="R28" s="7" t="s">
        <v>168</v>
      </c>
      <c r="S28" s="7"/>
    </row>
    <row r="29" spans="1:19" ht="48" customHeight="1" x14ac:dyDescent="0.2">
      <c r="A29" s="12" t="s">
        <v>92</v>
      </c>
      <c r="B29" s="7" t="s">
        <v>169</v>
      </c>
      <c r="C29" s="7" t="s">
        <v>170</v>
      </c>
      <c r="D29" s="7" t="s">
        <v>100</v>
      </c>
      <c r="E29" s="7" t="s">
        <v>36</v>
      </c>
      <c r="F29" s="8">
        <v>46339</v>
      </c>
      <c r="G29" s="8">
        <v>46339</v>
      </c>
      <c r="H29" s="9">
        <f t="shared" ca="1" si="0"/>
        <v>25</v>
      </c>
      <c r="I29" s="7">
        <v>3</v>
      </c>
      <c r="J29" s="7" t="s">
        <v>171</v>
      </c>
      <c r="K29" s="7" t="s">
        <v>172</v>
      </c>
      <c r="L29" s="10" t="s">
        <v>29</v>
      </c>
      <c r="M29" s="10" t="s">
        <v>30</v>
      </c>
      <c r="N29" s="10" t="s">
        <v>47</v>
      </c>
      <c r="O29" s="10"/>
      <c r="P29" s="11" t="str">
        <f t="shared" si="1"/>
        <v>Reis, Benigno, Hofmann</v>
      </c>
      <c r="Q29" s="10" t="s">
        <v>48</v>
      </c>
      <c r="R29" s="7"/>
      <c r="S29" s="7"/>
    </row>
    <row r="30" spans="1:19" ht="48" customHeight="1" x14ac:dyDescent="0.2">
      <c r="A30" s="12" t="s">
        <v>92</v>
      </c>
      <c r="B30" s="7" t="s">
        <v>173</v>
      </c>
      <c r="C30" s="7" t="s">
        <v>51</v>
      </c>
      <c r="D30" s="7" t="s">
        <v>73</v>
      </c>
      <c r="E30" s="7" t="s">
        <v>53</v>
      </c>
      <c r="F30" s="8">
        <v>46339</v>
      </c>
      <c r="G30" s="8">
        <v>46339</v>
      </c>
      <c r="H30" s="9">
        <f t="shared" ca="1" si="0"/>
        <v>25</v>
      </c>
      <c r="I30" s="7" t="s">
        <v>61</v>
      </c>
      <c r="J30" s="7" t="s">
        <v>174</v>
      </c>
      <c r="K30" s="7"/>
      <c r="L30" s="10" t="s">
        <v>29</v>
      </c>
      <c r="M30" s="10" t="s">
        <v>30</v>
      </c>
      <c r="N30" s="10" t="s">
        <v>56</v>
      </c>
      <c r="O30" s="10"/>
      <c r="P30" s="11" t="str">
        <f t="shared" si="1"/>
        <v>Reis, Benigno, Chaudhary</v>
      </c>
      <c r="Q30" s="10" t="s">
        <v>48</v>
      </c>
      <c r="R30" s="7"/>
      <c r="S30" s="7"/>
    </row>
    <row r="31" spans="1:19" ht="48" customHeight="1" x14ac:dyDescent="0.2">
      <c r="A31" s="12" t="s">
        <v>92</v>
      </c>
      <c r="B31" s="7" t="s">
        <v>175</v>
      </c>
      <c r="C31" s="7" t="s">
        <v>176</v>
      </c>
      <c r="D31" s="7" t="s">
        <v>177</v>
      </c>
      <c r="E31" s="7" t="s">
        <v>53</v>
      </c>
      <c r="F31" s="8">
        <v>46339</v>
      </c>
      <c r="G31" s="8">
        <v>46339</v>
      </c>
      <c r="H31" s="9">
        <f t="shared" ca="1" si="0"/>
        <v>25</v>
      </c>
      <c r="I31" s="7">
        <v>3</v>
      </c>
      <c r="J31" s="7" t="s">
        <v>178</v>
      </c>
      <c r="K31" s="7" t="s">
        <v>179</v>
      </c>
      <c r="L31" s="10" t="s">
        <v>29</v>
      </c>
      <c r="M31" s="10" t="s">
        <v>30</v>
      </c>
      <c r="N31" s="10" t="s">
        <v>56</v>
      </c>
      <c r="O31" s="10"/>
      <c r="P31" s="11" t="str">
        <f t="shared" si="1"/>
        <v>Reis, Benigno, Chaudhary</v>
      </c>
      <c r="Q31" s="10" t="s">
        <v>39</v>
      </c>
      <c r="R31" s="7"/>
      <c r="S31" s="7"/>
    </row>
    <row r="32" spans="1:19" ht="48" customHeight="1" x14ac:dyDescent="0.2">
      <c r="A32" s="12" t="s">
        <v>92</v>
      </c>
      <c r="B32" s="7" t="s">
        <v>180</v>
      </c>
      <c r="C32" s="7" t="s">
        <v>181</v>
      </c>
      <c r="D32" s="7" t="s">
        <v>182</v>
      </c>
      <c r="E32" s="7" t="s">
        <v>36</v>
      </c>
      <c r="F32" s="8">
        <v>46339</v>
      </c>
      <c r="G32" s="8">
        <v>46339</v>
      </c>
      <c r="H32" s="9">
        <f t="shared" ca="1" si="0"/>
        <v>25</v>
      </c>
      <c r="I32" s="7" t="s">
        <v>61</v>
      </c>
      <c r="J32" s="7" t="s">
        <v>183</v>
      </c>
      <c r="K32" s="7" t="s">
        <v>184</v>
      </c>
      <c r="L32" s="10" t="s">
        <v>29</v>
      </c>
      <c r="M32" s="10" t="s">
        <v>30</v>
      </c>
      <c r="N32" s="10" t="s">
        <v>47</v>
      </c>
      <c r="O32" s="10"/>
      <c r="P32" s="11" t="str">
        <f t="shared" si="1"/>
        <v>Reis, Benigno, Hofmann</v>
      </c>
      <c r="Q32" s="10" t="s">
        <v>48</v>
      </c>
      <c r="R32" s="7"/>
      <c r="S32" s="7"/>
    </row>
    <row r="33" spans="1:19" ht="48" customHeight="1" x14ac:dyDescent="0.2">
      <c r="A33" s="6" t="s">
        <v>21</v>
      </c>
      <c r="B33" s="7" t="s">
        <v>185</v>
      </c>
      <c r="C33" s="7" t="s">
        <v>186</v>
      </c>
      <c r="D33" s="7" t="s">
        <v>187</v>
      </c>
      <c r="E33" s="7" t="s">
        <v>53</v>
      </c>
      <c r="F33" s="8">
        <v>46341</v>
      </c>
      <c r="G33" s="8">
        <v>46341</v>
      </c>
      <c r="H33" s="9">
        <f t="shared" ca="1" si="0"/>
        <v>27</v>
      </c>
      <c r="I33" s="7">
        <v>3</v>
      </c>
      <c r="J33" s="7" t="s">
        <v>188</v>
      </c>
      <c r="K33" s="7" t="s">
        <v>189</v>
      </c>
      <c r="L33" s="10" t="s">
        <v>29</v>
      </c>
      <c r="M33" s="10" t="s">
        <v>30</v>
      </c>
      <c r="N33" s="10" t="s">
        <v>56</v>
      </c>
      <c r="O33" s="10"/>
      <c r="P33" s="11" t="str">
        <f t="shared" si="1"/>
        <v>Reis, Benigno, Chaudhary</v>
      </c>
      <c r="Q33" s="10" t="s">
        <v>39</v>
      </c>
      <c r="R33" s="7"/>
      <c r="S33" s="7"/>
    </row>
    <row r="34" spans="1:19" ht="48" customHeight="1" x14ac:dyDescent="0.2">
      <c r="A34" s="6" t="s">
        <v>21</v>
      </c>
      <c r="B34" s="7" t="s">
        <v>190</v>
      </c>
      <c r="C34" s="7" t="s">
        <v>191</v>
      </c>
      <c r="D34" s="7" t="s">
        <v>177</v>
      </c>
      <c r="E34" s="7" t="s">
        <v>36</v>
      </c>
      <c r="F34" s="8">
        <v>46341</v>
      </c>
      <c r="G34" s="8">
        <v>46341</v>
      </c>
      <c r="H34" s="9">
        <f t="shared" ca="1" si="0"/>
        <v>27</v>
      </c>
      <c r="I34" s="7">
        <v>3</v>
      </c>
      <c r="J34" s="7" t="s">
        <v>192</v>
      </c>
      <c r="K34" s="7" t="s">
        <v>193</v>
      </c>
      <c r="L34" s="10" t="s">
        <v>29</v>
      </c>
      <c r="M34" s="10" t="s">
        <v>30</v>
      </c>
      <c r="N34" s="10" t="s">
        <v>47</v>
      </c>
      <c r="O34" s="10"/>
      <c r="P34" s="11" t="str">
        <f t="shared" si="1"/>
        <v>Reis, Benigno, Hofmann</v>
      </c>
      <c r="Q34" s="10" t="s">
        <v>48</v>
      </c>
      <c r="R34" s="7"/>
      <c r="S34" s="7"/>
    </row>
    <row r="35" spans="1:19" ht="48" customHeight="1" x14ac:dyDescent="0.2">
      <c r="A35" s="6" t="s">
        <v>21</v>
      </c>
      <c r="B35" s="7" t="s">
        <v>194</v>
      </c>
      <c r="C35" s="7" t="s">
        <v>195</v>
      </c>
      <c r="D35" s="7" t="s">
        <v>196</v>
      </c>
      <c r="E35" s="7" t="s">
        <v>36</v>
      </c>
      <c r="F35" s="8">
        <v>46341</v>
      </c>
      <c r="G35" s="8">
        <v>46341</v>
      </c>
      <c r="H35" s="9">
        <f t="shared" ca="1" si="0"/>
        <v>27</v>
      </c>
      <c r="I35" s="7">
        <v>3</v>
      </c>
      <c r="J35" s="7" t="s">
        <v>197</v>
      </c>
      <c r="K35" s="7" t="s">
        <v>198</v>
      </c>
      <c r="L35" s="10" t="s">
        <v>29</v>
      </c>
      <c r="M35" s="10" t="s">
        <v>30</v>
      </c>
      <c r="N35" s="10" t="s">
        <v>47</v>
      </c>
      <c r="O35" s="10"/>
      <c r="P35" s="11" t="str">
        <f t="shared" si="1"/>
        <v>Reis, Benigno, Hofmann</v>
      </c>
      <c r="Q35" s="10" t="s">
        <v>48</v>
      </c>
      <c r="R35" s="7"/>
      <c r="S35" s="7"/>
    </row>
    <row r="36" spans="1:19" ht="48" customHeight="1" x14ac:dyDescent="0.2">
      <c r="A36" s="6" t="s">
        <v>21</v>
      </c>
      <c r="B36" s="7" t="s">
        <v>199</v>
      </c>
      <c r="C36" s="7" t="s">
        <v>200</v>
      </c>
      <c r="D36" s="7" t="s">
        <v>201</v>
      </c>
      <c r="E36" s="7" t="s">
        <v>36</v>
      </c>
      <c r="F36" s="8">
        <v>46341</v>
      </c>
      <c r="G36" s="8">
        <v>46341</v>
      </c>
      <c r="H36" s="9">
        <f t="shared" ca="1" si="0"/>
        <v>27</v>
      </c>
      <c r="I36" s="7" t="s">
        <v>202</v>
      </c>
      <c r="J36" s="7" t="s">
        <v>203</v>
      </c>
      <c r="K36" s="7" t="s">
        <v>204</v>
      </c>
      <c r="L36" s="10" t="s">
        <v>29</v>
      </c>
      <c r="M36" s="10" t="s">
        <v>30</v>
      </c>
      <c r="N36" s="10" t="s">
        <v>47</v>
      </c>
      <c r="O36" s="10"/>
      <c r="P36" s="11" t="str">
        <f t="shared" si="1"/>
        <v>Reis, Benigno, Hofmann</v>
      </c>
      <c r="Q36" s="10" t="s">
        <v>48</v>
      </c>
      <c r="R36" s="7"/>
      <c r="S36" s="7"/>
    </row>
    <row r="37" spans="1:19" ht="48" customHeight="1" x14ac:dyDescent="0.2">
      <c r="A37" s="6" t="s">
        <v>21</v>
      </c>
      <c r="B37" s="7" t="s">
        <v>205</v>
      </c>
      <c r="C37" s="7" t="s">
        <v>206</v>
      </c>
      <c r="D37" s="7" t="s">
        <v>207</v>
      </c>
      <c r="E37" s="7" t="s">
        <v>53</v>
      </c>
      <c r="F37" s="8">
        <v>46341</v>
      </c>
      <c r="G37" s="8"/>
      <c r="H37" s="9">
        <f t="shared" ref="H37:H68" ca="1" si="2">IF(G37&lt;&gt;"",G37-TODAY(),IF(F37&lt;&gt;"",F37-TODAY(),""))</f>
        <v>27</v>
      </c>
      <c r="I37" s="7" t="s">
        <v>208</v>
      </c>
      <c r="J37" s="7" t="s">
        <v>209</v>
      </c>
      <c r="K37" s="7"/>
      <c r="L37" s="10" t="s">
        <v>29</v>
      </c>
      <c r="M37" s="10" t="s">
        <v>30</v>
      </c>
      <c r="N37" s="10" t="s">
        <v>56</v>
      </c>
      <c r="O37" s="10"/>
      <c r="P37" s="11" t="str">
        <f t="shared" ref="P37:P68" si="3">_xlfn.TEXTJOIN(", ",TRUE(),L37:O37)</f>
        <v>Reis, Benigno, Chaudhary</v>
      </c>
      <c r="Q37" s="10" t="s">
        <v>90</v>
      </c>
      <c r="R37" s="7" t="s">
        <v>210</v>
      </c>
      <c r="S37" s="7"/>
    </row>
    <row r="38" spans="1:19" ht="48" customHeight="1" x14ac:dyDescent="0.2">
      <c r="A38" s="12" t="s">
        <v>92</v>
      </c>
      <c r="B38" s="7" t="s">
        <v>211</v>
      </c>
      <c r="C38" s="7" t="s">
        <v>212</v>
      </c>
      <c r="D38" s="7" t="s">
        <v>207</v>
      </c>
      <c r="E38" s="7" t="s">
        <v>36</v>
      </c>
      <c r="F38" s="8">
        <v>46341</v>
      </c>
      <c r="G38" s="8"/>
      <c r="H38" s="9">
        <f t="shared" ca="1" si="2"/>
        <v>27</v>
      </c>
      <c r="I38" s="7" t="s">
        <v>213</v>
      </c>
      <c r="J38" s="7" t="s">
        <v>214</v>
      </c>
      <c r="K38" s="7" t="s">
        <v>215</v>
      </c>
      <c r="L38" s="10" t="s">
        <v>29</v>
      </c>
      <c r="M38" s="10" t="s">
        <v>30</v>
      </c>
      <c r="N38" s="10" t="s">
        <v>47</v>
      </c>
      <c r="O38" s="10"/>
      <c r="P38" s="11" t="str">
        <f t="shared" si="3"/>
        <v>Reis, Benigno, Hofmann</v>
      </c>
      <c r="Q38" s="10" t="s">
        <v>31</v>
      </c>
      <c r="R38" s="7"/>
      <c r="S38" s="7"/>
    </row>
    <row r="39" spans="1:19" ht="48" customHeight="1" x14ac:dyDescent="0.2">
      <c r="A39" s="12" t="s">
        <v>92</v>
      </c>
      <c r="B39" s="7" t="s">
        <v>216</v>
      </c>
      <c r="C39" s="7" t="s">
        <v>217</v>
      </c>
      <c r="D39" s="7" t="s">
        <v>218</v>
      </c>
      <c r="E39" s="7" t="s">
        <v>53</v>
      </c>
      <c r="F39" s="8">
        <v>46341</v>
      </c>
      <c r="G39" s="8">
        <v>46341</v>
      </c>
      <c r="H39" s="9">
        <f t="shared" ca="1" si="2"/>
        <v>27</v>
      </c>
      <c r="I39" s="7">
        <v>3</v>
      </c>
      <c r="J39" s="7" t="s">
        <v>219</v>
      </c>
      <c r="K39" s="7"/>
      <c r="L39" s="10" t="s">
        <v>29</v>
      </c>
      <c r="M39" s="10" t="s">
        <v>30</v>
      </c>
      <c r="N39" s="10" t="s">
        <v>56</v>
      </c>
      <c r="O39" s="10"/>
      <c r="P39" s="11" t="str">
        <f t="shared" si="3"/>
        <v>Reis, Benigno, Chaudhary</v>
      </c>
      <c r="Q39" s="10" t="s">
        <v>48</v>
      </c>
      <c r="R39" s="7"/>
      <c r="S39" s="7"/>
    </row>
    <row r="40" spans="1:19" ht="48" customHeight="1" x14ac:dyDescent="0.2">
      <c r="A40" s="12" t="s">
        <v>92</v>
      </c>
      <c r="B40" s="7" t="s">
        <v>220</v>
      </c>
      <c r="C40" s="7" t="s">
        <v>221</v>
      </c>
      <c r="D40" s="7" t="s">
        <v>218</v>
      </c>
      <c r="E40" s="7" t="s">
        <v>36</v>
      </c>
      <c r="F40" s="8">
        <v>46341</v>
      </c>
      <c r="G40" s="8">
        <v>46341</v>
      </c>
      <c r="H40" s="9">
        <f t="shared" ca="1" si="2"/>
        <v>27</v>
      </c>
      <c r="I40" s="7">
        <v>3</v>
      </c>
      <c r="J40" s="7" t="s">
        <v>222</v>
      </c>
      <c r="K40" s="7"/>
      <c r="L40" s="10" t="s">
        <v>29</v>
      </c>
      <c r="M40" s="10" t="s">
        <v>30</v>
      </c>
      <c r="N40" s="10" t="s">
        <v>47</v>
      </c>
      <c r="O40" s="10"/>
      <c r="P40" s="11" t="str">
        <f t="shared" si="3"/>
        <v>Reis, Benigno, Hofmann</v>
      </c>
      <c r="Q40" s="10" t="s">
        <v>48</v>
      </c>
      <c r="R40" s="7" t="s">
        <v>223</v>
      </c>
      <c r="S40" s="7"/>
    </row>
    <row r="41" spans="1:19" ht="48" customHeight="1" x14ac:dyDescent="0.2">
      <c r="A41" s="12" t="s">
        <v>92</v>
      </c>
      <c r="B41" s="7" t="s">
        <v>224</v>
      </c>
      <c r="C41" s="7" t="s">
        <v>225</v>
      </c>
      <c r="D41" s="7" t="s">
        <v>226</v>
      </c>
      <c r="E41" s="7" t="s">
        <v>53</v>
      </c>
      <c r="F41" s="8">
        <v>46341</v>
      </c>
      <c r="G41" s="8"/>
      <c r="H41" s="9">
        <f t="shared" ca="1" si="2"/>
        <v>27</v>
      </c>
      <c r="I41" s="7" t="s">
        <v>31</v>
      </c>
      <c r="J41" s="7" t="s">
        <v>227</v>
      </c>
      <c r="K41" s="7"/>
      <c r="L41" s="10" t="s">
        <v>29</v>
      </c>
      <c r="M41" s="10" t="s">
        <v>30</v>
      </c>
      <c r="N41" s="10" t="s">
        <v>56</v>
      </c>
      <c r="O41" s="10"/>
      <c r="P41" s="11" t="str">
        <f t="shared" si="3"/>
        <v>Reis, Benigno, Chaudhary</v>
      </c>
      <c r="Q41" s="10" t="s">
        <v>31</v>
      </c>
      <c r="R41" s="7"/>
      <c r="S41" s="7"/>
    </row>
    <row r="42" spans="1:19" ht="48" customHeight="1" x14ac:dyDescent="0.2">
      <c r="A42" s="12" t="s">
        <v>92</v>
      </c>
      <c r="B42" s="7" t="s">
        <v>228</v>
      </c>
      <c r="C42" s="7" t="s">
        <v>229</v>
      </c>
      <c r="D42" s="7" t="s">
        <v>230</v>
      </c>
      <c r="E42" s="7" t="s">
        <v>36</v>
      </c>
      <c r="F42" s="8">
        <v>46341</v>
      </c>
      <c r="G42" s="8">
        <v>46341</v>
      </c>
      <c r="H42" s="9">
        <f t="shared" ca="1" si="2"/>
        <v>27</v>
      </c>
      <c r="I42" s="7">
        <v>2</v>
      </c>
      <c r="J42" s="7" t="s">
        <v>231</v>
      </c>
      <c r="K42" s="7"/>
      <c r="L42" s="10" t="s">
        <v>29</v>
      </c>
      <c r="M42" s="10" t="s">
        <v>30</v>
      </c>
      <c r="N42" s="10"/>
      <c r="O42" s="10"/>
      <c r="P42" s="11" t="str">
        <f t="shared" si="3"/>
        <v>Reis, Benigno</v>
      </c>
      <c r="Q42" s="10" t="s">
        <v>48</v>
      </c>
      <c r="R42" s="7"/>
      <c r="S42" s="7"/>
    </row>
    <row r="43" spans="1:19" ht="48" customHeight="1" x14ac:dyDescent="0.2">
      <c r="A43" s="12" t="s">
        <v>92</v>
      </c>
      <c r="B43" s="7" t="s">
        <v>232</v>
      </c>
      <c r="C43" s="7" t="s">
        <v>233</v>
      </c>
      <c r="D43" s="7" t="s">
        <v>153</v>
      </c>
      <c r="E43" s="7" t="s">
        <v>36</v>
      </c>
      <c r="F43" s="8">
        <v>46341</v>
      </c>
      <c r="G43" s="8">
        <v>46341</v>
      </c>
      <c r="H43" s="9">
        <f t="shared" ca="1" si="2"/>
        <v>27</v>
      </c>
      <c r="I43" s="7">
        <v>3</v>
      </c>
      <c r="J43" s="7" t="s">
        <v>231</v>
      </c>
      <c r="K43" s="7"/>
      <c r="L43" s="10" t="s">
        <v>29</v>
      </c>
      <c r="M43" s="10" t="s">
        <v>30</v>
      </c>
      <c r="N43" s="10" t="s">
        <v>47</v>
      </c>
      <c r="O43" s="10"/>
      <c r="P43" s="11" t="str">
        <f t="shared" si="3"/>
        <v>Reis, Benigno, Hofmann</v>
      </c>
      <c r="Q43" s="10" t="s">
        <v>48</v>
      </c>
      <c r="R43" s="7"/>
      <c r="S43" s="7"/>
    </row>
    <row r="44" spans="1:19" ht="48" customHeight="1" x14ac:dyDescent="0.2">
      <c r="A44" s="12" t="s">
        <v>92</v>
      </c>
      <c r="B44" s="7" t="s">
        <v>234</v>
      </c>
      <c r="C44" s="7" t="s">
        <v>235</v>
      </c>
      <c r="D44" s="7" t="s">
        <v>73</v>
      </c>
      <c r="E44" s="7" t="s">
        <v>236</v>
      </c>
      <c r="F44" s="8">
        <v>46341</v>
      </c>
      <c r="G44" s="8">
        <v>46341</v>
      </c>
      <c r="H44" s="9">
        <f t="shared" ca="1" si="2"/>
        <v>27</v>
      </c>
      <c r="I44" s="7">
        <v>3</v>
      </c>
      <c r="J44" s="7" t="s">
        <v>237</v>
      </c>
      <c r="K44" s="7"/>
      <c r="L44" s="10" t="s">
        <v>29</v>
      </c>
      <c r="M44" s="10" t="s">
        <v>30</v>
      </c>
      <c r="N44" s="10" t="s">
        <v>47</v>
      </c>
      <c r="O44" s="10"/>
      <c r="P44" s="11" t="str">
        <f t="shared" si="3"/>
        <v>Reis, Benigno, Hofmann</v>
      </c>
      <c r="Q44" s="10" t="s">
        <v>48</v>
      </c>
      <c r="R44" s="7"/>
      <c r="S44" s="7"/>
    </row>
    <row r="45" spans="1:19" ht="48" customHeight="1" x14ac:dyDescent="0.2">
      <c r="A45" s="12" t="s">
        <v>92</v>
      </c>
      <c r="B45" s="7" t="s">
        <v>238</v>
      </c>
      <c r="C45" s="7" t="s">
        <v>239</v>
      </c>
      <c r="D45" s="7" t="s">
        <v>240</v>
      </c>
      <c r="E45" s="7" t="s">
        <v>36</v>
      </c>
      <c r="F45" s="8">
        <v>46341</v>
      </c>
      <c r="G45" s="8">
        <v>46341</v>
      </c>
      <c r="H45" s="9">
        <f t="shared" ca="1" si="2"/>
        <v>27</v>
      </c>
      <c r="I45" s="7">
        <v>3</v>
      </c>
      <c r="J45" s="7" t="s">
        <v>241</v>
      </c>
      <c r="K45" s="7"/>
      <c r="L45" s="10" t="s">
        <v>29</v>
      </c>
      <c r="M45" s="10" t="s">
        <v>30</v>
      </c>
      <c r="N45" s="10" t="s">
        <v>47</v>
      </c>
      <c r="O45" s="10"/>
      <c r="P45" s="11" t="str">
        <f t="shared" si="3"/>
        <v>Reis, Benigno, Hofmann</v>
      </c>
      <c r="Q45" s="10" t="s">
        <v>48</v>
      </c>
      <c r="R45" s="7"/>
      <c r="S45" s="7"/>
    </row>
    <row r="46" spans="1:19" ht="48" customHeight="1" x14ac:dyDescent="0.2">
      <c r="A46" s="12" t="s">
        <v>92</v>
      </c>
      <c r="B46" s="7" t="s">
        <v>242</v>
      </c>
      <c r="C46" s="7" t="s">
        <v>243</v>
      </c>
      <c r="D46" s="7" t="s">
        <v>244</v>
      </c>
      <c r="E46" s="7" t="s">
        <v>53</v>
      </c>
      <c r="F46" s="8">
        <v>46341</v>
      </c>
      <c r="G46" s="8">
        <v>46341</v>
      </c>
      <c r="H46" s="9">
        <f t="shared" ca="1" si="2"/>
        <v>27</v>
      </c>
      <c r="I46" s="7">
        <v>3</v>
      </c>
      <c r="J46" s="7" t="s">
        <v>117</v>
      </c>
      <c r="K46" s="7"/>
      <c r="L46" s="10" t="s">
        <v>29</v>
      </c>
      <c r="M46" s="10" t="s">
        <v>30</v>
      </c>
      <c r="N46" s="10" t="s">
        <v>56</v>
      </c>
      <c r="O46" s="10"/>
      <c r="P46" s="11" t="str">
        <f t="shared" si="3"/>
        <v>Reis, Benigno, Chaudhary</v>
      </c>
      <c r="Q46" s="10" t="s">
        <v>39</v>
      </c>
      <c r="R46" s="7" t="s">
        <v>97</v>
      </c>
      <c r="S46" s="7"/>
    </row>
    <row r="47" spans="1:19" ht="48" customHeight="1" x14ac:dyDescent="0.2">
      <c r="A47" s="12" t="s">
        <v>92</v>
      </c>
      <c r="B47" s="7" t="s">
        <v>245</v>
      </c>
      <c r="C47" s="7" t="s">
        <v>246</v>
      </c>
      <c r="D47" s="7" t="s">
        <v>247</v>
      </c>
      <c r="E47" s="7" t="s">
        <v>36</v>
      </c>
      <c r="F47" s="8">
        <v>46341</v>
      </c>
      <c r="G47" s="8">
        <v>46341</v>
      </c>
      <c r="H47" s="9">
        <f t="shared" ca="1" si="2"/>
        <v>27</v>
      </c>
      <c r="I47" s="7" t="s">
        <v>61</v>
      </c>
      <c r="J47" s="7" t="s">
        <v>248</v>
      </c>
      <c r="K47" s="7" t="s">
        <v>249</v>
      </c>
      <c r="L47" s="10" t="s">
        <v>29</v>
      </c>
      <c r="M47" s="10" t="s">
        <v>30</v>
      </c>
      <c r="N47" s="10" t="s">
        <v>47</v>
      </c>
      <c r="O47" s="10"/>
      <c r="P47" s="11" t="str">
        <f t="shared" si="3"/>
        <v>Reis, Benigno, Hofmann</v>
      </c>
      <c r="Q47" s="10" t="s">
        <v>48</v>
      </c>
      <c r="R47" s="7"/>
      <c r="S47" s="7"/>
    </row>
    <row r="48" spans="1:19" ht="48" customHeight="1" x14ac:dyDescent="0.2">
      <c r="A48" s="12" t="s">
        <v>92</v>
      </c>
      <c r="B48" s="7" t="s">
        <v>250</v>
      </c>
      <c r="C48" s="7" t="s">
        <v>251</v>
      </c>
      <c r="D48" s="7" t="s">
        <v>252</v>
      </c>
      <c r="E48" s="7" t="s">
        <v>44</v>
      </c>
      <c r="F48" s="8">
        <v>46341</v>
      </c>
      <c r="G48" s="8">
        <v>46341</v>
      </c>
      <c r="H48" s="9">
        <f t="shared" ca="1" si="2"/>
        <v>27</v>
      </c>
      <c r="I48" s="7">
        <v>3</v>
      </c>
      <c r="J48" s="7" t="s">
        <v>253</v>
      </c>
      <c r="K48" s="7" t="s">
        <v>254</v>
      </c>
      <c r="L48" s="10" t="s">
        <v>29</v>
      </c>
      <c r="M48" s="10" t="s">
        <v>30</v>
      </c>
      <c r="N48" s="10" t="s">
        <v>47</v>
      </c>
      <c r="O48" s="10"/>
      <c r="P48" s="11" t="str">
        <f t="shared" si="3"/>
        <v>Reis, Benigno, Hofmann</v>
      </c>
      <c r="Q48" s="10" t="s">
        <v>48</v>
      </c>
      <c r="R48" s="7" t="s">
        <v>255</v>
      </c>
      <c r="S48" s="7"/>
    </row>
    <row r="49" spans="1:19" ht="48" customHeight="1" x14ac:dyDescent="0.2">
      <c r="A49" s="12" t="s">
        <v>92</v>
      </c>
      <c r="B49" s="7" t="s">
        <v>256</v>
      </c>
      <c r="C49" s="7" t="s">
        <v>257</v>
      </c>
      <c r="D49" s="7" t="s">
        <v>258</v>
      </c>
      <c r="E49" s="7" t="s">
        <v>44</v>
      </c>
      <c r="F49" s="8">
        <v>46341</v>
      </c>
      <c r="G49" s="8">
        <v>46341</v>
      </c>
      <c r="H49" s="9">
        <f t="shared" ca="1" si="2"/>
        <v>27</v>
      </c>
      <c r="I49" s="7">
        <v>3</v>
      </c>
      <c r="J49" s="7" t="s">
        <v>259</v>
      </c>
      <c r="K49" s="7" t="s">
        <v>260</v>
      </c>
      <c r="L49" s="10" t="s">
        <v>29</v>
      </c>
      <c r="M49" s="10" t="s">
        <v>30</v>
      </c>
      <c r="N49" s="10" t="s">
        <v>47</v>
      </c>
      <c r="O49" s="10"/>
      <c r="P49" s="11" t="str">
        <f t="shared" si="3"/>
        <v>Reis, Benigno, Hofmann</v>
      </c>
      <c r="Q49" s="10" t="s">
        <v>48</v>
      </c>
      <c r="R49" s="7"/>
      <c r="S49" s="7"/>
    </row>
    <row r="50" spans="1:19" ht="48" customHeight="1" x14ac:dyDescent="0.2">
      <c r="A50" s="12" t="s">
        <v>92</v>
      </c>
      <c r="B50" s="7" t="s">
        <v>71</v>
      </c>
      <c r="C50" s="7" t="s">
        <v>261</v>
      </c>
      <c r="D50" s="7" t="s">
        <v>73</v>
      </c>
      <c r="E50" s="7" t="s">
        <v>53</v>
      </c>
      <c r="F50" s="8">
        <v>46341</v>
      </c>
      <c r="G50" s="8">
        <v>46341</v>
      </c>
      <c r="H50" s="9">
        <f t="shared" ca="1" si="2"/>
        <v>27</v>
      </c>
      <c r="I50" s="7" t="s">
        <v>61</v>
      </c>
      <c r="J50" s="7" t="s">
        <v>62</v>
      </c>
      <c r="K50" s="7"/>
      <c r="L50" s="10" t="s">
        <v>29</v>
      </c>
      <c r="M50" s="10" t="s">
        <v>30</v>
      </c>
      <c r="N50" s="10" t="s">
        <v>56</v>
      </c>
      <c r="O50" s="10"/>
      <c r="P50" s="11" t="str">
        <f t="shared" si="3"/>
        <v>Reis, Benigno, Chaudhary</v>
      </c>
      <c r="Q50" s="10" t="s">
        <v>48</v>
      </c>
      <c r="R50" s="7"/>
      <c r="S50" s="7"/>
    </row>
    <row r="51" spans="1:19" ht="48" customHeight="1" x14ac:dyDescent="0.2">
      <c r="A51" s="12" t="s">
        <v>92</v>
      </c>
      <c r="B51" s="7" t="s">
        <v>262</v>
      </c>
      <c r="C51" s="7" t="s">
        <v>263</v>
      </c>
      <c r="D51" s="7" t="s">
        <v>264</v>
      </c>
      <c r="E51" s="7" t="s">
        <v>25</v>
      </c>
      <c r="F51" s="8">
        <v>46341</v>
      </c>
      <c r="G51" s="8">
        <v>46341</v>
      </c>
      <c r="H51" s="9">
        <f t="shared" ca="1" si="2"/>
        <v>27</v>
      </c>
      <c r="I51" s="7" t="s">
        <v>265</v>
      </c>
      <c r="J51" s="7" t="s">
        <v>266</v>
      </c>
      <c r="K51" s="7" t="s">
        <v>267</v>
      </c>
      <c r="L51" s="10" t="s">
        <v>29</v>
      </c>
      <c r="M51" s="10" t="s">
        <v>30</v>
      </c>
      <c r="N51" s="10"/>
      <c r="O51" s="10"/>
      <c r="P51" s="11" t="str">
        <f t="shared" si="3"/>
        <v>Reis, Benigno</v>
      </c>
      <c r="Q51" s="10" t="s">
        <v>39</v>
      </c>
      <c r="R51" s="7" t="s">
        <v>268</v>
      </c>
      <c r="S51" s="7"/>
    </row>
    <row r="52" spans="1:19" ht="48" customHeight="1" x14ac:dyDescent="0.2">
      <c r="A52" s="13" t="s">
        <v>269</v>
      </c>
      <c r="B52" s="7" t="s">
        <v>270</v>
      </c>
      <c r="C52" s="7" t="s">
        <v>271</v>
      </c>
      <c r="D52" s="7" t="s">
        <v>187</v>
      </c>
      <c r="E52" s="7" t="s">
        <v>36</v>
      </c>
      <c r="F52" s="8">
        <v>46341</v>
      </c>
      <c r="G52" s="8">
        <v>46341</v>
      </c>
      <c r="H52" s="9">
        <f t="shared" ca="1" si="2"/>
        <v>27</v>
      </c>
      <c r="I52" s="7">
        <v>3</v>
      </c>
      <c r="J52" s="7" t="s">
        <v>188</v>
      </c>
      <c r="K52" s="7" t="s">
        <v>272</v>
      </c>
      <c r="L52" s="10" t="s">
        <v>29</v>
      </c>
      <c r="M52" s="10" t="s">
        <v>30</v>
      </c>
      <c r="N52" s="10" t="s">
        <v>47</v>
      </c>
      <c r="O52" s="10"/>
      <c r="P52" s="11" t="str">
        <f t="shared" si="3"/>
        <v>Reis, Benigno, Hofmann</v>
      </c>
      <c r="Q52" s="10" t="s">
        <v>39</v>
      </c>
      <c r="R52" s="7" t="s">
        <v>273</v>
      </c>
      <c r="S52" s="7"/>
    </row>
    <row r="53" spans="1:19" ht="48" customHeight="1" x14ac:dyDescent="0.2">
      <c r="A53" s="13" t="s">
        <v>269</v>
      </c>
      <c r="B53" s="7" t="s">
        <v>274</v>
      </c>
      <c r="C53" s="7" t="s">
        <v>275</v>
      </c>
      <c r="D53" s="7" t="s">
        <v>276</v>
      </c>
      <c r="E53" s="7" t="s">
        <v>36</v>
      </c>
      <c r="F53" s="8">
        <v>46341</v>
      </c>
      <c r="G53" s="8"/>
      <c r="H53" s="9">
        <f t="shared" ca="1" si="2"/>
        <v>27</v>
      </c>
      <c r="I53" s="7" t="s">
        <v>277</v>
      </c>
      <c r="J53" s="7" t="s">
        <v>278</v>
      </c>
      <c r="K53" s="7"/>
      <c r="L53" s="10" t="s">
        <v>29</v>
      </c>
      <c r="M53" s="10" t="s">
        <v>30</v>
      </c>
      <c r="N53" s="10"/>
      <c r="O53" s="10"/>
      <c r="P53" s="11" t="str">
        <f t="shared" si="3"/>
        <v>Reis, Benigno</v>
      </c>
      <c r="Q53" s="10" t="s">
        <v>39</v>
      </c>
      <c r="R53" s="7" t="s">
        <v>279</v>
      </c>
      <c r="S53" s="7"/>
    </row>
    <row r="54" spans="1:19" ht="48" customHeight="1" x14ac:dyDescent="0.2">
      <c r="A54" s="6" t="s">
        <v>21</v>
      </c>
      <c r="B54" s="7" t="s">
        <v>280</v>
      </c>
      <c r="C54" s="7" t="s">
        <v>281</v>
      </c>
      <c r="D54" s="7" t="s">
        <v>218</v>
      </c>
      <c r="E54" s="7" t="s">
        <v>44</v>
      </c>
      <c r="F54" s="8">
        <v>46342</v>
      </c>
      <c r="G54" s="8">
        <v>46342</v>
      </c>
      <c r="H54" s="9">
        <f t="shared" ca="1" si="2"/>
        <v>28</v>
      </c>
      <c r="I54" s="7" t="s">
        <v>282</v>
      </c>
      <c r="J54" s="7" t="s">
        <v>283</v>
      </c>
      <c r="K54" s="7" t="s">
        <v>284</v>
      </c>
      <c r="L54" s="10" t="s">
        <v>29</v>
      </c>
      <c r="M54" s="10" t="s">
        <v>30</v>
      </c>
      <c r="N54" s="10" t="s">
        <v>47</v>
      </c>
      <c r="O54" s="10"/>
      <c r="P54" s="11" t="str">
        <f t="shared" si="3"/>
        <v>Reis, Benigno, Hofmann</v>
      </c>
      <c r="Q54" s="10" t="s">
        <v>48</v>
      </c>
      <c r="R54" s="7" t="s">
        <v>285</v>
      </c>
      <c r="S54" s="7"/>
    </row>
    <row r="55" spans="1:19" ht="48" customHeight="1" x14ac:dyDescent="0.2">
      <c r="A55" s="12" t="s">
        <v>92</v>
      </c>
      <c r="B55" s="7" t="s">
        <v>286</v>
      </c>
      <c r="C55" s="7" t="s">
        <v>51</v>
      </c>
      <c r="D55" s="7" t="s">
        <v>287</v>
      </c>
      <c r="E55" s="7" t="s">
        <v>53</v>
      </c>
      <c r="F55" s="8">
        <v>46335</v>
      </c>
      <c r="G55" s="8">
        <v>46342</v>
      </c>
      <c r="H55" s="9">
        <f t="shared" ca="1" si="2"/>
        <v>28</v>
      </c>
      <c r="I55" s="7" t="s">
        <v>61</v>
      </c>
      <c r="J55" s="7" t="s">
        <v>288</v>
      </c>
      <c r="K55" s="7" t="s">
        <v>289</v>
      </c>
      <c r="L55" s="10" t="s">
        <v>29</v>
      </c>
      <c r="M55" s="10" t="s">
        <v>30</v>
      </c>
      <c r="N55" s="10" t="s">
        <v>56</v>
      </c>
      <c r="O55" s="10"/>
      <c r="P55" s="11" t="str">
        <f t="shared" si="3"/>
        <v>Reis, Benigno, Chaudhary</v>
      </c>
      <c r="Q55" s="10" t="s">
        <v>39</v>
      </c>
      <c r="R55" s="7"/>
      <c r="S55" s="7"/>
    </row>
    <row r="56" spans="1:19" ht="48" customHeight="1" x14ac:dyDescent="0.2">
      <c r="A56" s="12" t="s">
        <v>92</v>
      </c>
      <c r="B56" s="7" t="s">
        <v>290</v>
      </c>
      <c r="C56" s="7" t="s">
        <v>291</v>
      </c>
      <c r="D56" s="7" t="s">
        <v>292</v>
      </c>
      <c r="E56" s="7" t="s">
        <v>36</v>
      </c>
      <c r="F56" s="8">
        <v>46342</v>
      </c>
      <c r="G56" s="8">
        <v>46342</v>
      </c>
      <c r="H56" s="9">
        <f t="shared" ca="1" si="2"/>
        <v>28</v>
      </c>
      <c r="I56" s="7" t="s">
        <v>293</v>
      </c>
      <c r="J56" s="7" t="s">
        <v>294</v>
      </c>
      <c r="K56" s="7" t="s">
        <v>295</v>
      </c>
      <c r="L56" s="10" t="s">
        <v>29</v>
      </c>
      <c r="M56" s="10" t="s">
        <v>30</v>
      </c>
      <c r="N56" s="10" t="s">
        <v>47</v>
      </c>
      <c r="O56" s="10"/>
      <c r="P56" s="11" t="str">
        <f t="shared" si="3"/>
        <v>Reis, Benigno, Hofmann</v>
      </c>
      <c r="Q56" s="10" t="s">
        <v>48</v>
      </c>
      <c r="R56" s="7" t="s">
        <v>296</v>
      </c>
      <c r="S56" s="7"/>
    </row>
    <row r="57" spans="1:19" ht="48" customHeight="1" x14ac:dyDescent="0.2">
      <c r="A57" s="13" t="s">
        <v>269</v>
      </c>
      <c r="B57" s="7" t="s">
        <v>297</v>
      </c>
      <c r="C57" s="7" t="s">
        <v>298</v>
      </c>
      <c r="D57" s="7" t="s">
        <v>299</v>
      </c>
      <c r="E57" s="7" t="s">
        <v>53</v>
      </c>
      <c r="F57" s="8">
        <v>46342</v>
      </c>
      <c r="G57" s="8">
        <v>46342</v>
      </c>
      <c r="H57" s="9">
        <f t="shared" ca="1" si="2"/>
        <v>28</v>
      </c>
      <c r="I57" s="7" t="s">
        <v>61</v>
      </c>
      <c r="J57" s="7" t="s">
        <v>300</v>
      </c>
      <c r="K57" s="7"/>
      <c r="L57" s="10" t="s">
        <v>29</v>
      </c>
      <c r="M57" s="10" t="s">
        <v>30</v>
      </c>
      <c r="N57" s="10" t="s">
        <v>56</v>
      </c>
      <c r="O57" s="10"/>
      <c r="P57" s="11" t="str">
        <f t="shared" si="3"/>
        <v>Reis, Benigno, Chaudhary</v>
      </c>
      <c r="Q57" s="10" t="s">
        <v>39</v>
      </c>
      <c r="R57" s="7" t="s">
        <v>301</v>
      </c>
      <c r="S57" s="7"/>
    </row>
    <row r="58" spans="1:19" ht="48" customHeight="1" x14ac:dyDescent="0.2">
      <c r="A58" s="12" t="s">
        <v>92</v>
      </c>
      <c r="B58" s="7" t="s">
        <v>302</v>
      </c>
      <c r="C58" s="7" t="s">
        <v>303</v>
      </c>
      <c r="D58" s="7" t="s">
        <v>100</v>
      </c>
      <c r="E58" s="7" t="s">
        <v>53</v>
      </c>
      <c r="F58" s="8">
        <v>46343</v>
      </c>
      <c r="G58" s="8">
        <v>46343</v>
      </c>
      <c r="H58" s="9">
        <f t="shared" ca="1" si="2"/>
        <v>29</v>
      </c>
      <c r="I58" s="7" t="s">
        <v>61</v>
      </c>
      <c r="J58" s="7" t="s">
        <v>304</v>
      </c>
      <c r="K58" s="7"/>
      <c r="L58" s="10" t="s">
        <v>29</v>
      </c>
      <c r="M58" s="10" t="s">
        <v>30</v>
      </c>
      <c r="N58" s="10" t="s">
        <v>56</v>
      </c>
      <c r="O58" s="10"/>
      <c r="P58" s="11" t="str">
        <f t="shared" si="3"/>
        <v>Reis, Benigno, Chaudhary</v>
      </c>
      <c r="Q58" s="10" t="s">
        <v>48</v>
      </c>
      <c r="R58" s="7"/>
      <c r="S58" s="7"/>
    </row>
    <row r="59" spans="1:19" ht="48" customHeight="1" x14ac:dyDescent="0.2">
      <c r="A59" s="12" t="s">
        <v>92</v>
      </c>
      <c r="B59" s="7" t="s">
        <v>305</v>
      </c>
      <c r="C59" s="7" t="s">
        <v>306</v>
      </c>
      <c r="D59" s="7" t="s">
        <v>307</v>
      </c>
      <c r="E59" s="7" t="s">
        <v>53</v>
      </c>
      <c r="F59" s="8">
        <v>46343</v>
      </c>
      <c r="G59" s="8">
        <v>46343</v>
      </c>
      <c r="H59" s="9">
        <f t="shared" ca="1" si="2"/>
        <v>29</v>
      </c>
      <c r="I59" s="7">
        <v>3</v>
      </c>
      <c r="J59" s="7" t="s">
        <v>231</v>
      </c>
      <c r="K59" s="7"/>
      <c r="L59" s="10" t="s">
        <v>29</v>
      </c>
      <c r="M59" s="10" t="s">
        <v>30</v>
      </c>
      <c r="N59" s="10" t="s">
        <v>56</v>
      </c>
      <c r="O59" s="10"/>
      <c r="P59" s="11" t="str">
        <f t="shared" si="3"/>
        <v>Reis, Benigno, Chaudhary</v>
      </c>
      <c r="Q59" s="10" t="s">
        <v>48</v>
      </c>
      <c r="R59" s="7"/>
      <c r="S59" s="7"/>
    </row>
    <row r="60" spans="1:19" ht="48" customHeight="1" x14ac:dyDescent="0.2">
      <c r="A60" s="12" t="s">
        <v>92</v>
      </c>
      <c r="B60" s="7" t="s">
        <v>308</v>
      </c>
      <c r="C60" s="7" t="s">
        <v>309</v>
      </c>
      <c r="D60" s="7" t="s">
        <v>177</v>
      </c>
      <c r="E60" s="7" t="s">
        <v>36</v>
      </c>
      <c r="F60" s="8">
        <v>46344</v>
      </c>
      <c r="G60" s="8">
        <v>46344</v>
      </c>
      <c r="H60" s="9">
        <f t="shared" ca="1" si="2"/>
        <v>30</v>
      </c>
      <c r="I60" s="7">
        <v>3</v>
      </c>
      <c r="J60" s="7" t="s">
        <v>310</v>
      </c>
      <c r="K60" s="7"/>
      <c r="L60" s="10" t="s">
        <v>29</v>
      </c>
      <c r="M60" s="10" t="s">
        <v>30</v>
      </c>
      <c r="N60" s="10" t="s">
        <v>47</v>
      </c>
      <c r="O60" s="10"/>
      <c r="P60" s="11" t="str">
        <f t="shared" si="3"/>
        <v>Reis, Benigno, Hofmann</v>
      </c>
      <c r="Q60" s="10" t="s">
        <v>48</v>
      </c>
      <c r="R60" s="7"/>
      <c r="S60" s="7"/>
    </row>
    <row r="61" spans="1:19" ht="48" customHeight="1" x14ac:dyDescent="0.2">
      <c r="A61" s="12" t="s">
        <v>92</v>
      </c>
      <c r="B61" s="7" t="s">
        <v>194</v>
      </c>
      <c r="C61" s="7" t="s">
        <v>311</v>
      </c>
      <c r="D61" s="7" t="s">
        <v>196</v>
      </c>
      <c r="E61" s="7" t="s">
        <v>53</v>
      </c>
      <c r="F61" s="8">
        <v>46344</v>
      </c>
      <c r="G61" s="8">
        <v>46344</v>
      </c>
      <c r="H61" s="9">
        <f t="shared" ca="1" si="2"/>
        <v>30</v>
      </c>
      <c r="I61" s="7">
        <v>3</v>
      </c>
      <c r="J61" s="7" t="s">
        <v>312</v>
      </c>
      <c r="K61" s="7"/>
      <c r="L61" s="10" t="s">
        <v>29</v>
      </c>
      <c r="M61" s="10" t="s">
        <v>30</v>
      </c>
      <c r="N61" s="10" t="s">
        <v>56</v>
      </c>
      <c r="O61" s="10"/>
      <c r="P61" s="11" t="str">
        <f t="shared" si="3"/>
        <v>Reis, Benigno, Chaudhary</v>
      </c>
      <c r="Q61" s="10" t="s">
        <v>48</v>
      </c>
      <c r="R61" s="7"/>
      <c r="S61" s="7"/>
    </row>
    <row r="62" spans="1:19" ht="48" customHeight="1" x14ac:dyDescent="0.2">
      <c r="A62" s="12" t="s">
        <v>92</v>
      </c>
      <c r="B62" s="7" t="s">
        <v>313</v>
      </c>
      <c r="C62" s="7" t="s">
        <v>314</v>
      </c>
      <c r="D62" s="7" t="s">
        <v>315</v>
      </c>
      <c r="E62" s="7" t="s">
        <v>44</v>
      </c>
      <c r="F62" s="8">
        <v>46344</v>
      </c>
      <c r="G62" s="8">
        <v>46344</v>
      </c>
      <c r="H62" s="9">
        <f t="shared" ca="1" si="2"/>
        <v>30</v>
      </c>
      <c r="I62" s="7" t="s">
        <v>61</v>
      </c>
      <c r="J62" s="7" t="s">
        <v>316</v>
      </c>
      <c r="K62" s="7"/>
      <c r="L62" s="10" t="s">
        <v>29</v>
      </c>
      <c r="M62" s="10" t="s">
        <v>30</v>
      </c>
      <c r="N62" s="10" t="s">
        <v>47</v>
      </c>
      <c r="O62" s="10"/>
      <c r="P62" s="11" t="str">
        <f t="shared" si="3"/>
        <v>Reis, Benigno, Hofmann</v>
      </c>
      <c r="Q62" s="10" t="s">
        <v>48</v>
      </c>
      <c r="R62" s="7"/>
      <c r="S62" s="7"/>
    </row>
    <row r="63" spans="1:19" ht="48" customHeight="1" x14ac:dyDescent="0.2">
      <c r="A63" s="12" t="s">
        <v>92</v>
      </c>
      <c r="B63" s="7" t="s">
        <v>317</v>
      </c>
      <c r="C63" s="7" t="s">
        <v>51</v>
      </c>
      <c r="D63" s="7" t="s">
        <v>100</v>
      </c>
      <c r="E63" s="7" t="s">
        <v>53</v>
      </c>
      <c r="F63" s="8">
        <v>46339</v>
      </c>
      <c r="G63" s="8">
        <v>46346</v>
      </c>
      <c r="H63" s="9">
        <f t="shared" ca="1" si="2"/>
        <v>32</v>
      </c>
      <c r="I63" s="7" t="s">
        <v>61</v>
      </c>
      <c r="J63" s="7" t="s">
        <v>318</v>
      </c>
      <c r="K63" s="7" t="s">
        <v>319</v>
      </c>
      <c r="L63" s="10" t="s">
        <v>29</v>
      </c>
      <c r="M63" s="10" t="s">
        <v>30</v>
      </c>
      <c r="N63" s="10" t="s">
        <v>56</v>
      </c>
      <c r="O63" s="10"/>
      <c r="P63" s="11" t="str">
        <f t="shared" si="3"/>
        <v>Reis, Benigno, Chaudhary</v>
      </c>
      <c r="Q63" s="10" t="s">
        <v>48</v>
      </c>
      <c r="R63" s="7"/>
      <c r="S63" s="7"/>
    </row>
    <row r="64" spans="1:19" ht="48" customHeight="1" x14ac:dyDescent="0.2">
      <c r="A64" s="12" t="s">
        <v>92</v>
      </c>
      <c r="B64" s="7" t="s">
        <v>320</v>
      </c>
      <c r="C64" s="7" t="s">
        <v>321</v>
      </c>
      <c r="D64" s="7" t="s">
        <v>177</v>
      </c>
      <c r="E64" s="7" t="s">
        <v>53</v>
      </c>
      <c r="F64" s="8">
        <v>46346</v>
      </c>
      <c r="G64" s="8">
        <v>46346</v>
      </c>
      <c r="H64" s="9">
        <f t="shared" ca="1" si="2"/>
        <v>32</v>
      </c>
      <c r="I64" s="7" t="s">
        <v>322</v>
      </c>
      <c r="J64" s="7" t="s">
        <v>323</v>
      </c>
      <c r="K64" s="7" t="s">
        <v>324</v>
      </c>
      <c r="L64" s="10" t="s">
        <v>29</v>
      </c>
      <c r="M64" s="10" t="s">
        <v>30</v>
      </c>
      <c r="N64" s="10" t="s">
        <v>56</v>
      </c>
      <c r="O64" s="10"/>
      <c r="P64" s="11" t="str">
        <f t="shared" si="3"/>
        <v>Reis, Benigno, Chaudhary</v>
      </c>
      <c r="Q64" s="10" t="s">
        <v>39</v>
      </c>
      <c r="R64" s="7" t="s">
        <v>325</v>
      </c>
      <c r="S64" s="7"/>
    </row>
    <row r="65" spans="1:19" ht="48" customHeight="1" x14ac:dyDescent="0.2">
      <c r="A65" s="12" t="s">
        <v>92</v>
      </c>
      <c r="B65" s="7" t="s">
        <v>326</v>
      </c>
      <c r="C65" s="7" t="s">
        <v>327</v>
      </c>
      <c r="D65" s="7" t="s">
        <v>328</v>
      </c>
      <c r="E65" s="7" t="s">
        <v>53</v>
      </c>
      <c r="F65" s="8">
        <v>46346</v>
      </c>
      <c r="G65" s="8">
        <v>46346</v>
      </c>
      <c r="H65" s="9">
        <f t="shared" ca="1" si="2"/>
        <v>32</v>
      </c>
      <c r="I65" s="7">
        <v>3</v>
      </c>
      <c r="J65" s="7" t="s">
        <v>329</v>
      </c>
      <c r="K65" s="7"/>
      <c r="L65" s="10" t="s">
        <v>29</v>
      </c>
      <c r="M65" s="10" t="s">
        <v>30</v>
      </c>
      <c r="N65" s="10" t="s">
        <v>56</v>
      </c>
      <c r="O65" s="10"/>
      <c r="P65" s="11" t="str">
        <f t="shared" si="3"/>
        <v>Reis, Benigno, Chaudhary</v>
      </c>
      <c r="Q65" s="10" t="s">
        <v>48</v>
      </c>
      <c r="R65" s="7"/>
      <c r="S65" s="7"/>
    </row>
    <row r="66" spans="1:19" ht="48" customHeight="1" x14ac:dyDescent="0.2">
      <c r="A66" s="12" t="s">
        <v>92</v>
      </c>
      <c r="B66" s="7" t="s">
        <v>330</v>
      </c>
      <c r="C66" s="7" t="s">
        <v>51</v>
      </c>
      <c r="D66" s="7" t="s">
        <v>331</v>
      </c>
      <c r="E66" s="7" t="s">
        <v>53</v>
      </c>
      <c r="F66" s="8">
        <v>46346</v>
      </c>
      <c r="G66" s="8">
        <v>46346</v>
      </c>
      <c r="H66" s="9">
        <f t="shared" ca="1" si="2"/>
        <v>32</v>
      </c>
      <c r="I66" s="7" t="s">
        <v>332</v>
      </c>
      <c r="J66" s="7" t="s">
        <v>333</v>
      </c>
      <c r="K66" s="7" t="s">
        <v>334</v>
      </c>
      <c r="L66" s="10" t="s">
        <v>29</v>
      </c>
      <c r="M66" s="10" t="s">
        <v>30</v>
      </c>
      <c r="N66" s="10" t="s">
        <v>56</v>
      </c>
      <c r="O66" s="10"/>
      <c r="P66" s="11" t="str">
        <f t="shared" si="3"/>
        <v>Reis, Benigno, Chaudhary</v>
      </c>
      <c r="Q66" s="10" t="s">
        <v>48</v>
      </c>
      <c r="R66" s="7" t="s">
        <v>335</v>
      </c>
      <c r="S66" s="7"/>
    </row>
    <row r="67" spans="1:19" ht="48" customHeight="1" x14ac:dyDescent="0.2">
      <c r="A67" s="12" t="s">
        <v>92</v>
      </c>
      <c r="B67" s="7" t="s">
        <v>336</v>
      </c>
      <c r="C67" s="7" t="s">
        <v>337</v>
      </c>
      <c r="D67" s="7" t="s">
        <v>338</v>
      </c>
      <c r="E67" s="7" t="s">
        <v>44</v>
      </c>
      <c r="F67" s="8">
        <v>46507</v>
      </c>
      <c r="G67" s="8">
        <v>46346</v>
      </c>
      <c r="H67" s="9">
        <f t="shared" ca="1" si="2"/>
        <v>32</v>
      </c>
      <c r="I67" s="7">
        <v>3</v>
      </c>
      <c r="J67" s="7" t="s">
        <v>231</v>
      </c>
      <c r="K67" s="7" t="s">
        <v>339</v>
      </c>
      <c r="L67" s="10" t="s">
        <v>29</v>
      </c>
      <c r="M67" s="10" t="s">
        <v>30</v>
      </c>
      <c r="N67" s="10" t="s">
        <v>47</v>
      </c>
      <c r="O67" s="10"/>
      <c r="P67" s="11" t="str">
        <f t="shared" si="3"/>
        <v>Reis, Benigno, Hofmann</v>
      </c>
      <c r="Q67" s="10" t="s">
        <v>48</v>
      </c>
      <c r="R67" s="7"/>
      <c r="S67" s="7"/>
    </row>
    <row r="68" spans="1:19" ht="48" customHeight="1" x14ac:dyDescent="0.2">
      <c r="A68" s="12" t="s">
        <v>92</v>
      </c>
      <c r="B68" s="7" t="s">
        <v>340</v>
      </c>
      <c r="C68" s="7" t="s">
        <v>341</v>
      </c>
      <c r="D68" s="7" t="s">
        <v>342</v>
      </c>
      <c r="E68" s="7" t="s">
        <v>36</v>
      </c>
      <c r="F68" s="8">
        <v>46348</v>
      </c>
      <c r="G68" s="8">
        <v>46348</v>
      </c>
      <c r="H68" s="9">
        <f t="shared" ca="1" si="2"/>
        <v>34</v>
      </c>
      <c r="I68" s="7" t="s">
        <v>282</v>
      </c>
      <c r="J68" s="7" t="s">
        <v>343</v>
      </c>
      <c r="K68" s="7"/>
      <c r="L68" s="10" t="s">
        <v>29</v>
      </c>
      <c r="M68" s="10" t="s">
        <v>30</v>
      </c>
      <c r="N68" s="10" t="s">
        <v>47</v>
      </c>
      <c r="O68" s="10"/>
      <c r="P68" s="11" t="str">
        <f t="shared" si="3"/>
        <v>Reis, Benigno, Hofmann</v>
      </c>
      <c r="Q68" s="10" t="s">
        <v>48</v>
      </c>
      <c r="R68" s="7" t="s">
        <v>344</v>
      </c>
      <c r="S68" s="7"/>
    </row>
    <row r="69" spans="1:19" ht="48" customHeight="1" x14ac:dyDescent="0.2">
      <c r="A69" s="12" t="s">
        <v>92</v>
      </c>
      <c r="B69" s="7" t="s">
        <v>345</v>
      </c>
      <c r="C69" s="7" t="s">
        <v>51</v>
      </c>
      <c r="D69" s="7" t="s">
        <v>346</v>
      </c>
      <c r="E69" s="7" t="s">
        <v>53</v>
      </c>
      <c r="F69" s="8">
        <v>46348</v>
      </c>
      <c r="G69" s="8">
        <v>46348</v>
      </c>
      <c r="H69" s="9">
        <f t="shared" ref="H69:H100" ca="1" si="4">IF(G69&lt;&gt;"",G69-TODAY(),IF(F69&lt;&gt;"",F69-TODAY(),""))</f>
        <v>34</v>
      </c>
      <c r="I69" s="7">
        <v>3</v>
      </c>
      <c r="J69" s="7" t="s">
        <v>347</v>
      </c>
      <c r="K69" s="7" t="s">
        <v>348</v>
      </c>
      <c r="L69" s="10" t="s">
        <v>29</v>
      </c>
      <c r="M69" s="10" t="s">
        <v>30</v>
      </c>
      <c r="N69" s="10" t="s">
        <v>56</v>
      </c>
      <c r="O69" s="10"/>
      <c r="P69" s="11" t="str">
        <f t="shared" ref="P69:P100" si="5">_xlfn.TEXTJOIN(", ",TRUE(),L69:O69)</f>
        <v>Reis, Benigno, Chaudhary</v>
      </c>
      <c r="Q69" s="10" t="s">
        <v>48</v>
      </c>
      <c r="R69" s="7"/>
      <c r="S69" s="7"/>
    </row>
    <row r="70" spans="1:19" ht="48" customHeight="1" x14ac:dyDescent="0.2">
      <c r="A70" s="12" t="s">
        <v>92</v>
      </c>
      <c r="B70" s="7" t="s">
        <v>349</v>
      </c>
      <c r="C70" s="7" t="s">
        <v>350</v>
      </c>
      <c r="D70" s="7" t="s">
        <v>351</v>
      </c>
      <c r="E70" s="7" t="s">
        <v>36</v>
      </c>
      <c r="F70" s="8">
        <v>46349</v>
      </c>
      <c r="G70" s="8">
        <v>46349</v>
      </c>
      <c r="H70" s="9">
        <f t="shared" ca="1" si="4"/>
        <v>35</v>
      </c>
      <c r="I70" s="7">
        <v>3</v>
      </c>
      <c r="J70" s="7" t="s">
        <v>352</v>
      </c>
      <c r="K70" s="7"/>
      <c r="L70" s="10" t="s">
        <v>29</v>
      </c>
      <c r="M70" s="10" t="s">
        <v>30</v>
      </c>
      <c r="N70" s="10" t="s">
        <v>47</v>
      </c>
      <c r="O70" s="10"/>
      <c r="P70" s="11" t="str">
        <f t="shared" si="5"/>
        <v>Reis, Benigno, Hofmann</v>
      </c>
      <c r="Q70" s="10" t="s">
        <v>48</v>
      </c>
      <c r="R70" s="7"/>
      <c r="S70" s="7"/>
    </row>
    <row r="71" spans="1:19" ht="48" customHeight="1" x14ac:dyDescent="0.2">
      <c r="A71" s="12" t="s">
        <v>92</v>
      </c>
      <c r="B71" s="7" t="s">
        <v>353</v>
      </c>
      <c r="C71" s="7" t="s">
        <v>354</v>
      </c>
      <c r="D71" s="7" t="s">
        <v>355</v>
      </c>
      <c r="E71" s="7" t="s">
        <v>36</v>
      </c>
      <c r="F71" s="8">
        <v>46352</v>
      </c>
      <c r="G71" s="8">
        <v>46352</v>
      </c>
      <c r="H71" s="9">
        <f t="shared" ca="1" si="4"/>
        <v>38</v>
      </c>
      <c r="I71" s="7">
        <v>3</v>
      </c>
      <c r="J71" s="7" t="s">
        <v>356</v>
      </c>
      <c r="K71" s="7"/>
      <c r="L71" s="10" t="s">
        <v>29</v>
      </c>
      <c r="M71" s="10" t="s">
        <v>30</v>
      </c>
      <c r="N71" s="10" t="s">
        <v>47</v>
      </c>
      <c r="O71" s="10"/>
      <c r="P71" s="11" t="str">
        <f t="shared" si="5"/>
        <v>Reis, Benigno, Hofmann</v>
      </c>
      <c r="Q71" s="10" t="s">
        <v>48</v>
      </c>
      <c r="R71" s="7"/>
      <c r="S71" s="7"/>
    </row>
    <row r="72" spans="1:19" ht="48" customHeight="1" x14ac:dyDescent="0.2">
      <c r="A72" s="12" t="s">
        <v>92</v>
      </c>
      <c r="B72" s="7" t="s">
        <v>357</v>
      </c>
      <c r="C72" s="7" t="s">
        <v>358</v>
      </c>
      <c r="D72" s="7" t="s">
        <v>73</v>
      </c>
      <c r="E72" s="7" t="s">
        <v>36</v>
      </c>
      <c r="F72" s="8">
        <v>46353</v>
      </c>
      <c r="G72" s="8">
        <v>46353</v>
      </c>
      <c r="H72" s="9">
        <f t="shared" ca="1" si="4"/>
        <v>39</v>
      </c>
      <c r="I72" s="7">
        <v>3</v>
      </c>
      <c r="J72" s="7" t="s">
        <v>359</v>
      </c>
      <c r="K72" s="7"/>
      <c r="L72" s="10" t="s">
        <v>29</v>
      </c>
      <c r="M72" s="10" t="s">
        <v>30</v>
      </c>
      <c r="N72" s="10" t="s">
        <v>47</v>
      </c>
      <c r="O72" s="10"/>
      <c r="P72" s="11" t="str">
        <f t="shared" si="5"/>
        <v>Reis, Benigno, Hofmann</v>
      </c>
      <c r="Q72" s="10" t="s">
        <v>48</v>
      </c>
      <c r="R72" s="7"/>
      <c r="S72" s="7"/>
    </row>
    <row r="73" spans="1:19" ht="48" customHeight="1" x14ac:dyDescent="0.2">
      <c r="A73" s="13" t="s">
        <v>269</v>
      </c>
      <c r="B73" s="7" t="s">
        <v>360</v>
      </c>
      <c r="C73" s="7" t="s">
        <v>361</v>
      </c>
      <c r="D73" s="7" t="s">
        <v>362</v>
      </c>
      <c r="E73" s="7" t="s">
        <v>236</v>
      </c>
      <c r="F73" s="8">
        <v>46353</v>
      </c>
      <c r="G73" s="8">
        <v>46353</v>
      </c>
      <c r="H73" s="9">
        <f t="shared" ca="1" si="4"/>
        <v>39</v>
      </c>
      <c r="I73" s="7">
        <v>2</v>
      </c>
      <c r="J73" s="7" t="s">
        <v>363</v>
      </c>
      <c r="K73" s="7"/>
      <c r="L73" s="10" t="s">
        <v>29</v>
      </c>
      <c r="M73" s="10" t="s">
        <v>30</v>
      </c>
      <c r="N73" s="10"/>
      <c r="O73" s="10"/>
      <c r="P73" s="11" t="str">
        <f t="shared" si="5"/>
        <v>Reis, Benigno</v>
      </c>
      <c r="Q73" s="10" t="s">
        <v>48</v>
      </c>
      <c r="R73" s="7"/>
      <c r="S73" s="7"/>
    </row>
    <row r="74" spans="1:19" ht="48" customHeight="1" x14ac:dyDescent="0.2">
      <c r="A74" s="12" t="s">
        <v>92</v>
      </c>
      <c r="B74" s="7" t="s">
        <v>364</v>
      </c>
      <c r="C74" s="7" t="s">
        <v>365</v>
      </c>
      <c r="D74" s="7" t="s">
        <v>366</v>
      </c>
      <c r="E74" s="7" t="s">
        <v>53</v>
      </c>
      <c r="F74" s="8">
        <v>46355</v>
      </c>
      <c r="G74" s="8">
        <v>46355</v>
      </c>
      <c r="H74" s="9">
        <f t="shared" ca="1" si="4"/>
        <v>41</v>
      </c>
      <c r="I74" s="7">
        <v>2</v>
      </c>
      <c r="J74" s="7" t="s">
        <v>367</v>
      </c>
      <c r="K74" s="7"/>
      <c r="L74" s="10" t="s">
        <v>29</v>
      </c>
      <c r="M74" s="10" t="s">
        <v>30</v>
      </c>
      <c r="N74" s="10"/>
      <c r="O74" s="10"/>
      <c r="P74" s="11" t="str">
        <f t="shared" si="5"/>
        <v>Reis, Benigno</v>
      </c>
      <c r="Q74" s="10" t="s">
        <v>48</v>
      </c>
      <c r="R74" s="7" t="s">
        <v>368</v>
      </c>
      <c r="S74" s="7"/>
    </row>
    <row r="75" spans="1:19" ht="48" customHeight="1" x14ac:dyDescent="0.2">
      <c r="A75" s="13" t="s">
        <v>269</v>
      </c>
      <c r="B75" s="7" t="s">
        <v>369</v>
      </c>
      <c r="C75" s="7" t="s">
        <v>370</v>
      </c>
      <c r="D75" s="7" t="s">
        <v>371</v>
      </c>
      <c r="E75" s="7" t="s">
        <v>36</v>
      </c>
      <c r="F75" s="8">
        <v>46356</v>
      </c>
      <c r="G75" s="8">
        <v>46356</v>
      </c>
      <c r="H75" s="9">
        <f t="shared" ca="1" si="4"/>
        <v>42</v>
      </c>
      <c r="I75" s="7" t="s">
        <v>372</v>
      </c>
      <c r="J75" s="7" t="s">
        <v>373</v>
      </c>
      <c r="K75" s="7" t="s">
        <v>374</v>
      </c>
      <c r="L75" s="10" t="s">
        <v>29</v>
      </c>
      <c r="M75" s="10" t="s">
        <v>30</v>
      </c>
      <c r="N75" s="10" t="s">
        <v>47</v>
      </c>
      <c r="O75" s="10"/>
      <c r="P75" s="11" t="str">
        <f t="shared" si="5"/>
        <v>Reis, Benigno, Hofmann</v>
      </c>
      <c r="Q75" s="10" t="s">
        <v>39</v>
      </c>
      <c r="R75" s="7" t="s">
        <v>375</v>
      </c>
      <c r="S75" s="7"/>
    </row>
    <row r="76" spans="1:19" ht="48" customHeight="1" x14ac:dyDescent="0.2">
      <c r="A76" s="12" t="s">
        <v>92</v>
      </c>
      <c r="B76" s="7" t="s">
        <v>376</v>
      </c>
      <c r="C76" s="7" t="s">
        <v>377</v>
      </c>
      <c r="D76" s="7" t="s">
        <v>378</v>
      </c>
      <c r="E76" s="7" t="s">
        <v>25</v>
      </c>
      <c r="F76" s="8">
        <v>46357</v>
      </c>
      <c r="G76" s="8">
        <v>46357</v>
      </c>
      <c r="H76" s="9">
        <f t="shared" ca="1" si="4"/>
        <v>43</v>
      </c>
      <c r="I76" s="7" t="s">
        <v>61</v>
      </c>
      <c r="J76" s="7" t="s">
        <v>62</v>
      </c>
      <c r="K76" s="7"/>
      <c r="L76" s="10" t="s">
        <v>29</v>
      </c>
      <c r="M76" s="10" t="s">
        <v>30</v>
      </c>
      <c r="N76" s="10" t="s">
        <v>47</v>
      </c>
      <c r="O76" s="10"/>
      <c r="P76" s="11" t="str">
        <f t="shared" si="5"/>
        <v>Reis, Benigno, Hofmann</v>
      </c>
      <c r="Q76" s="10" t="s">
        <v>48</v>
      </c>
      <c r="R76" s="7"/>
      <c r="S76" s="7"/>
    </row>
    <row r="77" spans="1:19" ht="48" customHeight="1" x14ac:dyDescent="0.2">
      <c r="A77" s="12" t="s">
        <v>92</v>
      </c>
      <c r="B77" s="7" t="s">
        <v>379</v>
      </c>
      <c r="C77" s="7" t="s">
        <v>380</v>
      </c>
      <c r="D77" s="7" t="s">
        <v>381</v>
      </c>
      <c r="E77" s="7" t="s">
        <v>36</v>
      </c>
      <c r="F77" s="8">
        <v>46357</v>
      </c>
      <c r="G77" s="8">
        <v>46357</v>
      </c>
      <c r="H77" s="9">
        <f t="shared" ca="1" si="4"/>
        <v>43</v>
      </c>
      <c r="I77" s="7">
        <v>3</v>
      </c>
      <c r="J77" s="7" t="s">
        <v>382</v>
      </c>
      <c r="K77" s="7" t="s">
        <v>383</v>
      </c>
      <c r="L77" s="10" t="s">
        <v>29</v>
      </c>
      <c r="M77" s="10" t="s">
        <v>30</v>
      </c>
      <c r="N77" s="10" t="s">
        <v>47</v>
      </c>
      <c r="O77" s="10"/>
      <c r="P77" s="11" t="str">
        <f t="shared" si="5"/>
        <v>Reis, Benigno, Hofmann</v>
      </c>
      <c r="Q77" s="10" t="s">
        <v>48</v>
      </c>
      <c r="R77" s="7"/>
      <c r="S77" s="7"/>
    </row>
    <row r="78" spans="1:19" ht="48" customHeight="1" x14ac:dyDescent="0.2">
      <c r="A78" s="12" t="s">
        <v>92</v>
      </c>
      <c r="B78" s="7" t="s">
        <v>384</v>
      </c>
      <c r="C78" s="7" t="s">
        <v>306</v>
      </c>
      <c r="D78" s="7" t="s">
        <v>177</v>
      </c>
      <c r="E78" s="7" t="s">
        <v>36</v>
      </c>
      <c r="F78" s="8">
        <v>46357</v>
      </c>
      <c r="G78" s="8">
        <v>46357</v>
      </c>
      <c r="H78" s="9">
        <f t="shared" ca="1" si="4"/>
        <v>43</v>
      </c>
      <c r="I78" s="7">
        <v>3</v>
      </c>
      <c r="J78" s="7" t="s">
        <v>231</v>
      </c>
      <c r="K78" s="7"/>
      <c r="L78" s="10" t="s">
        <v>29</v>
      </c>
      <c r="M78" s="10" t="s">
        <v>30</v>
      </c>
      <c r="N78" s="10" t="s">
        <v>47</v>
      </c>
      <c r="O78" s="10"/>
      <c r="P78" s="11" t="str">
        <f t="shared" si="5"/>
        <v>Reis, Benigno, Hofmann</v>
      </c>
      <c r="Q78" s="10" t="s">
        <v>48</v>
      </c>
      <c r="R78" s="7"/>
      <c r="S78" s="7"/>
    </row>
    <row r="79" spans="1:19" ht="48" customHeight="1" x14ac:dyDescent="0.2">
      <c r="A79" s="12" t="s">
        <v>92</v>
      </c>
      <c r="B79" s="7" t="s">
        <v>385</v>
      </c>
      <c r="C79" s="7" t="s">
        <v>386</v>
      </c>
      <c r="D79" s="7" t="s">
        <v>387</v>
      </c>
      <c r="E79" s="7" t="s">
        <v>44</v>
      </c>
      <c r="F79" s="8">
        <v>46357</v>
      </c>
      <c r="G79" s="8">
        <v>46357</v>
      </c>
      <c r="H79" s="9">
        <f t="shared" ca="1" si="4"/>
        <v>43</v>
      </c>
      <c r="I79" s="7" t="s">
        <v>61</v>
      </c>
      <c r="J79" s="7" t="s">
        <v>62</v>
      </c>
      <c r="K79" s="7"/>
      <c r="L79" s="10" t="s">
        <v>29</v>
      </c>
      <c r="M79" s="10" t="s">
        <v>30</v>
      </c>
      <c r="N79" s="10" t="s">
        <v>47</v>
      </c>
      <c r="O79" s="10"/>
      <c r="P79" s="11" t="str">
        <f t="shared" si="5"/>
        <v>Reis, Benigno, Hofmann</v>
      </c>
      <c r="Q79" s="10" t="s">
        <v>48</v>
      </c>
      <c r="R79" s="7"/>
      <c r="S79" s="7"/>
    </row>
    <row r="80" spans="1:19" ht="48" customHeight="1" x14ac:dyDescent="0.2">
      <c r="A80" s="13" t="s">
        <v>269</v>
      </c>
      <c r="B80" s="7" t="s">
        <v>388</v>
      </c>
      <c r="C80" s="7" t="s">
        <v>389</v>
      </c>
      <c r="D80" s="7" t="s">
        <v>177</v>
      </c>
      <c r="E80" s="7" t="s">
        <v>53</v>
      </c>
      <c r="F80" s="8">
        <v>46357</v>
      </c>
      <c r="G80" s="8">
        <v>46357</v>
      </c>
      <c r="H80" s="9">
        <f t="shared" ca="1" si="4"/>
        <v>43</v>
      </c>
      <c r="I80" s="7" t="s">
        <v>390</v>
      </c>
      <c r="J80" s="7" t="s">
        <v>391</v>
      </c>
      <c r="K80" s="7" t="s">
        <v>392</v>
      </c>
      <c r="L80" s="10" t="s">
        <v>29</v>
      </c>
      <c r="M80" s="10" t="s">
        <v>30</v>
      </c>
      <c r="N80" s="10"/>
      <c r="O80" s="10"/>
      <c r="P80" s="11" t="str">
        <f t="shared" si="5"/>
        <v>Reis, Benigno</v>
      </c>
      <c r="Q80" s="10" t="s">
        <v>39</v>
      </c>
      <c r="R80" s="7" t="s">
        <v>368</v>
      </c>
      <c r="S80" s="7"/>
    </row>
    <row r="81" spans="1:19" ht="48" customHeight="1" x14ac:dyDescent="0.2">
      <c r="A81" s="6" t="s">
        <v>21</v>
      </c>
      <c r="B81" s="7" t="s">
        <v>393</v>
      </c>
      <c r="C81" s="7" t="s">
        <v>394</v>
      </c>
      <c r="D81" s="7" t="s">
        <v>258</v>
      </c>
      <c r="E81" s="7" t="s">
        <v>44</v>
      </c>
      <c r="F81" s="8">
        <v>46360</v>
      </c>
      <c r="G81" s="8"/>
      <c r="H81" s="9">
        <f t="shared" ca="1" si="4"/>
        <v>46</v>
      </c>
      <c r="I81" s="7" t="s">
        <v>395</v>
      </c>
      <c r="J81" s="7" t="s">
        <v>396</v>
      </c>
      <c r="K81" s="7" t="s">
        <v>397</v>
      </c>
      <c r="L81" s="10" t="s">
        <v>29</v>
      </c>
      <c r="M81" s="10" t="s">
        <v>30</v>
      </c>
      <c r="N81" s="10" t="s">
        <v>47</v>
      </c>
      <c r="O81" s="10"/>
      <c r="P81" s="11" t="str">
        <f t="shared" si="5"/>
        <v>Reis, Benigno, Hofmann</v>
      </c>
      <c r="Q81" s="10" t="s">
        <v>39</v>
      </c>
      <c r="R81" s="7" t="s">
        <v>398</v>
      </c>
      <c r="S81" s="7"/>
    </row>
    <row r="82" spans="1:19" ht="48" customHeight="1" x14ac:dyDescent="0.2">
      <c r="A82" s="12" t="s">
        <v>92</v>
      </c>
      <c r="B82" s="7" t="s">
        <v>399</v>
      </c>
      <c r="C82" s="7" t="s">
        <v>400</v>
      </c>
      <c r="D82" s="7" t="s">
        <v>244</v>
      </c>
      <c r="E82" s="7" t="s">
        <v>25</v>
      </c>
      <c r="F82" s="8">
        <v>46363</v>
      </c>
      <c r="G82" s="8">
        <v>46363</v>
      </c>
      <c r="H82" s="9">
        <f t="shared" ca="1" si="4"/>
        <v>49</v>
      </c>
      <c r="I82" s="7">
        <v>1</v>
      </c>
      <c r="J82" s="7" t="s">
        <v>401</v>
      </c>
      <c r="K82" s="7" t="s">
        <v>402</v>
      </c>
      <c r="L82" s="10" t="s">
        <v>29</v>
      </c>
      <c r="M82" s="10"/>
      <c r="N82" s="10"/>
      <c r="O82" s="10"/>
      <c r="P82" s="11" t="str">
        <f t="shared" si="5"/>
        <v>Reis</v>
      </c>
      <c r="Q82" s="10" t="s">
        <v>39</v>
      </c>
      <c r="R82" s="7" t="s">
        <v>403</v>
      </c>
      <c r="S82" s="7"/>
    </row>
    <row r="83" spans="1:19" ht="48" customHeight="1" x14ac:dyDescent="0.2">
      <c r="A83" s="12" t="s">
        <v>92</v>
      </c>
      <c r="B83" s="7" t="s">
        <v>404</v>
      </c>
      <c r="C83" s="7" t="s">
        <v>405</v>
      </c>
      <c r="D83" s="7" t="s">
        <v>406</v>
      </c>
      <c r="E83" s="7" t="s">
        <v>36</v>
      </c>
      <c r="F83" s="8">
        <v>46367</v>
      </c>
      <c r="G83" s="8">
        <v>46367</v>
      </c>
      <c r="H83" s="9">
        <f t="shared" ca="1" si="4"/>
        <v>53</v>
      </c>
      <c r="I83" s="7">
        <v>3</v>
      </c>
      <c r="J83" s="7" t="s">
        <v>407</v>
      </c>
      <c r="K83" s="7" t="s">
        <v>408</v>
      </c>
      <c r="L83" s="10" t="s">
        <v>29</v>
      </c>
      <c r="M83" s="10" t="s">
        <v>30</v>
      </c>
      <c r="N83" s="10" t="s">
        <v>47</v>
      </c>
      <c r="O83" s="10"/>
      <c r="P83" s="11" t="str">
        <f t="shared" si="5"/>
        <v>Reis, Benigno, Hofmann</v>
      </c>
      <c r="Q83" s="10" t="s">
        <v>48</v>
      </c>
      <c r="R83" s="7"/>
      <c r="S83" s="7"/>
    </row>
    <row r="84" spans="1:19" ht="48" customHeight="1" x14ac:dyDescent="0.2">
      <c r="A84" s="12" t="s">
        <v>92</v>
      </c>
      <c r="B84" s="7" t="s">
        <v>409</v>
      </c>
      <c r="C84" s="7" t="s">
        <v>410</v>
      </c>
      <c r="D84" s="7" t="s">
        <v>120</v>
      </c>
      <c r="E84" s="7" t="s">
        <v>25</v>
      </c>
      <c r="F84" s="8">
        <v>46371</v>
      </c>
      <c r="G84" s="8">
        <v>46371</v>
      </c>
      <c r="H84" s="9">
        <f t="shared" ca="1" si="4"/>
        <v>57</v>
      </c>
      <c r="I84" s="7" t="s">
        <v>61</v>
      </c>
      <c r="J84" s="7" t="s">
        <v>411</v>
      </c>
      <c r="K84" s="7"/>
      <c r="L84" s="10" t="s">
        <v>29</v>
      </c>
      <c r="M84" s="10" t="s">
        <v>30</v>
      </c>
      <c r="N84" s="10" t="s">
        <v>47</v>
      </c>
      <c r="O84" s="10"/>
      <c r="P84" s="11" t="str">
        <f t="shared" si="5"/>
        <v>Reis, Benigno, Hofmann</v>
      </c>
      <c r="Q84" s="10" t="s">
        <v>48</v>
      </c>
      <c r="R84" s="7"/>
      <c r="S84" s="7"/>
    </row>
    <row r="85" spans="1:19" ht="48" customHeight="1" x14ac:dyDescent="0.2">
      <c r="A85" s="12" t="s">
        <v>92</v>
      </c>
      <c r="B85" s="7" t="s">
        <v>412</v>
      </c>
      <c r="C85" s="7" t="s">
        <v>51</v>
      </c>
      <c r="D85" s="7" t="s">
        <v>182</v>
      </c>
      <c r="E85" s="7" t="s">
        <v>53</v>
      </c>
      <c r="F85" s="8">
        <v>46371</v>
      </c>
      <c r="G85" s="8">
        <v>46371</v>
      </c>
      <c r="H85" s="9">
        <f t="shared" ca="1" si="4"/>
        <v>57</v>
      </c>
      <c r="I85" s="7">
        <v>3</v>
      </c>
      <c r="J85" s="7" t="s">
        <v>117</v>
      </c>
      <c r="K85" s="7"/>
      <c r="L85" s="10" t="s">
        <v>29</v>
      </c>
      <c r="M85" s="10" t="s">
        <v>30</v>
      </c>
      <c r="N85" s="10" t="s">
        <v>56</v>
      </c>
      <c r="O85" s="10"/>
      <c r="P85" s="11" t="str">
        <f t="shared" si="5"/>
        <v>Reis, Benigno, Chaudhary</v>
      </c>
      <c r="Q85" s="10" t="s">
        <v>39</v>
      </c>
      <c r="R85" s="7"/>
      <c r="S85" s="7"/>
    </row>
    <row r="86" spans="1:19" ht="48" customHeight="1" x14ac:dyDescent="0.2">
      <c r="A86" s="12" t="s">
        <v>92</v>
      </c>
      <c r="B86" s="7" t="s">
        <v>413</v>
      </c>
      <c r="C86" s="7" t="s">
        <v>414</v>
      </c>
      <c r="D86" s="7" t="s">
        <v>138</v>
      </c>
      <c r="E86" s="7" t="s">
        <v>25</v>
      </c>
      <c r="F86" s="8">
        <v>46418</v>
      </c>
      <c r="G86" s="8">
        <v>46391</v>
      </c>
      <c r="H86" s="9">
        <f t="shared" ca="1" si="4"/>
        <v>77</v>
      </c>
      <c r="I86" s="7">
        <v>3</v>
      </c>
      <c r="J86" s="7" t="s">
        <v>62</v>
      </c>
      <c r="K86" s="7" t="s">
        <v>415</v>
      </c>
      <c r="L86" s="10" t="s">
        <v>29</v>
      </c>
      <c r="M86" s="10" t="s">
        <v>30</v>
      </c>
      <c r="N86" s="10" t="s">
        <v>47</v>
      </c>
      <c r="O86" s="10"/>
      <c r="P86" s="11" t="str">
        <f t="shared" si="5"/>
        <v>Reis, Benigno, Hofmann</v>
      </c>
      <c r="Q86" s="10" t="s">
        <v>48</v>
      </c>
      <c r="R86" s="7" t="s">
        <v>416</v>
      </c>
      <c r="S86" s="7"/>
    </row>
    <row r="87" spans="1:19" ht="48" customHeight="1" x14ac:dyDescent="0.2">
      <c r="A87" s="6" t="s">
        <v>21</v>
      </c>
      <c r="B87" s="7" t="s">
        <v>417</v>
      </c>
      <c r="C87" s="7" t="s">
        <v>418</v>
      </c>
      <c r="D87" s="7" t="s">
        <v>419</v>
      </c>
      <c r="E87" s="7" t="s">
        <v>25</v>
      </c>
      <c r="F87" s="8">
        <v>46447</v>
      </c>
      <c r="G87" s="8">
        <v>46447</v>
      </c>
      <c r="H87" s="9">
        <f t="shared" ca="1" si="4"/>
        <v>133</v>
      </c>
      <c r="I87" s="7" t="s">
        <v>420</v>
      </c>
      <c r="J87" s="7" t="s">
        <v>421</v>
      </c>
      <c r="K87" s="7" t="s">
        <v>422</v>
      </c>
      <c r="L87" s="10" t="s">
        <v>29</v>
      </c>
      <c r="M87" s="10" t="s">
        <v>30</v>
      </c>
      <c r="N87" s="10" t="s">
        <v>47</v>
      </c>
      <c r="O87" s="10"/>
      <c r="P87" s="11" t="str">
        <f t="shared" si="5"/>
        <v>Reis, Benigno, Hofmann</v>
      </c>
      <c r="Q87" s="10" t="s">
        <v>39</v>
      </c>
      <c r="R87" s="7"/>
      <c r="S87" s="7"/>
    </row>
    <row r="88" spans="1:19" ht="48" customHeight="1" x14ac:dyDescent="0.2">
      <c r="A88" s="12" t="s">
        <v>92</v>
      </c>
      <c r="B88" s="7" t="s">
        <v>423</v>
      </c>
      <c r="C88" s="7" t="s">
        <v>424</v>
      </c>
      <c r="D88" s="7" t="s">
        <v>425</v>
      </c>
      <c r="E88" s="7" t="s">
        <v>36</v>
      </c>
      <c r="F88" s="8">
        <v>46477</v>
      </c>
      <c r="G88" s="8"/>
      <c r="H88" s="9">
        <f t="shared" ca="1" si="4"/>
        <v>163</v>
      </c>
      <c r="I88" s="7" t="s">
        <v>426</v>
      </c>
      <c r="J88" s="7" t="s">
        <v>427</v>
      </c>
      <c r="K88" s="7" t="s">
        <v>428</v>
      </c>
      <c r="L88" s="10" t="s">
        <v>29</v>
      </c>
      <c r="M88" s="10" t="s">
        <v>30</v>
      </c>
      <c r="N88" s="10"/>
      <c r="O88" s="10"/>
      <c r="P88" s="11" t="str">
        <f t="shared" si="5"/>
        <v>Reis, Benigno</v>
      </c>
      <c r="Q88" s="10" t="s">
        <v>31</v>
      </c>
      <c r="R88" s="7" t="s">
        <v>429</v>
      </c>
      <c r="S88" s="7"/>
    </row>
    <row r="90" spans="1:19" x14ac:dyDescent="0.2">
      <c r="A90" s="14" t="s">
        <v>430</v>
      </c>
    </row>
    <row r="91" spans="1:19" ht="27.75" customHeight="1" x14ac:dyDescent="0.2">
      <c r="A91" s="15" t="s">
        <v>431</v>
      </c>
      <c r="B91" s="2" t="s">
        <v>432</v>
      </c>
      <c r="C91" s="2"/>
      <c r="D91" s="2"/>
      <c r="E91" s="2"/>
      <c r="F91" s="2"/>
      <c r="G91" s="2"/>
      <c r="H91" s="2"/>
      <c r="I91" s="2"/>
      <c r="J91" s="2"/>
      <c r="K91" s="2"/>
    </row>
    <row r="92" spans="1:19" ht="27.75" customHeight="1" x14ac:dyDescent="0.2">
      <c r="A92" s="16" t="s">
        <v>433</v>
      </c>
      <c r="B92" s="2" t="s">
        <v>434</v>
      </c>
      <c r="C92" s="2"/>
      <c r="D92" s="2"/>
      <c r="E92" s="2"/>
      <c r="F92" s="2"/>
      <c r="G92" s="2"/>
      <c r="H92" s="2"/>
      <c r="I92" s="2"/>
      <c r="J92" s="2"/>
      <c r="K92" s="2"/>
    </row>
    <row r="93" spans="1:19" ht="27.75" customHeight="1" x14ac:dyDescent="0.2">
      <c r="A93" s="17" t="s">
        <v>435</v>
      </c>
      <c r="B93" s="2" t="s">
        <v>436</v>
      </c>
      <c r="C93" s="2"/>
      <c r="D93" s="2"/>
      <c r="E93" s="2"/>
      <c r="F93" s="2"/>
      <c r="G93" s="2"/>
      <c r="H93" s="2"/>
      <c r="I93" s="2"/>
      <c r="J93" s="2"/>
      <c r="K93" s="2"/>
    </row>
    <row r="94" spans="1:19" ht="27.75" customHeight="1" x14ac:dyDescent="0.2">
      <c r="A94" s="18" t="s">
        <v>437</v>
      </c>
      <c r="B94" s="2" t="s">
        <v>438</v>
      </c>
      <c r="C94" s="2"/>
      <c r="D94" s="2"/>
      <c r="E94" s="2"/>
      <c r="F94" s="2"/>
      <c r="G94" s="2"/>
      <c r="H94" s="2"/>
      <c r="I94" s="2"/>
      <c r="J94" s="2"/>
      <c r="K94" s="2"/>
    </row>
    <row r="95" spans="1:19" ht="27.75" customHeight="1" x14ac:dyDescent="0.2">
      <c r="A95" s="14" t="s">
        <v>439</v>
      </c>
      <c r="B95" s="2" t="s">
        <v>440</v>
      </c>
      <c r="C95" s="2"/>
      <c r="D95" s="2"/>
      <c r="E95" s="2"/>
      <c r="F95" s="2"/>
      <c r="G95" s="2"/>
      <c r="H95" s="2"/>
      <c r="I95" s="2"/>
      <c r="J95" s="2"/>
      <c r="K95" s="2"/>
    </row>
    <row r="96" spans="1:19" ht="27.75" customHeight="1" x14ac:dyDescent="0.2">
      <c r="A96" s="14" t="s">
        <v>441</v>
      </c>
      <c r="B96" s="2" t="s">
        <v>442</v>
      </c>
      <c r="C96" s="2"/>
      <c r="D96" s="2"/>
      <c r="E96" s="2"/>
      <c r="F96" s="2"/>
      <c r="G96" s="2"/>
      <c r="H96" s="2"/>
      <c r="I96" s="2"/>
      <c r="J96" s="2"/>
      <c r="K96" s="2"/>
    </row>
  </sheetData>
  <autoFilter ref="A4:R88" xr:uid="{00000000-0009-0000-0000-000000000000}"/>
  <mergeCells count="7">
    <mergeCell ref="B95:K95"/>
    <mergeCell ref="B96:K96"/>
    <mergeCell ref="A2:S2"/>
    <mergeCell ref="B91:K91"/>
    <mergeCell ref="B92:K92"/>
    <mergeCell ref="B93:K93"/>
    <mergeCell ref="B94:K94"/>
  </mergeCells>
  <conditionalFormatting sqref="H5:H88">
    <cfRule type="expression" dxfId="1" priority="2">
      <formula>AND(ISNUMBER(H5),H5&lt;=14,H5&gt;=0)</formula>
    </cfRule>
    <cfRule type="expression" dxfId="0" priority="3">
      <formula>AND(ISNUMBER(H5),H5&lt;0)</formula>
    </cfRule>
  </conditionalFormatting>
  <dataValidations count="2">
    <dataValidation type="list" allowBlank="1" sqref="L5:O88" xr:uid="{00000000-0002-0000-0000-000000000000}">
      <formula1>"Reis,Benigno,Hofmann,Chaudhary"</formula1>
      <formula2>0</formula2>
    </dataValidation>
    <dataValidation type="list" allowBlank="1" sqref="Q5:Q88" xr:uid="{00000000-0002-0000-0000-000001000000}">
      <formula1>"On platform – check attached,Referee action needed,Names only,Not needed yet,Uploaded / sent,Application dropped"</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2"/>
  <sheetViews>
    <sheetView zoomScaleNormal="100" workbookViewId="0"/>
  </sheetViews>
  <sheetFormatPr baseColWidth="10" defaultColWidth="8.6640625" defaultRowHeight="15" x14ac:dyDescent="0.2"/>
  <cols>
    <col min="1" max="2" width="14" customWidth="1"/>
    <col min="3" max="3" width="18" customWidth="1"/>
    <col min="4" max="9" width="10" customWidth="1"/>
    <col min="10" max="11" width="14" customWidth="1"/>
    <col min="12" max="12" width="16" customWidth="1"/>
    <col min="13" max="13" width="14" customWidth="1"/>
  </cols>
  <sheetData>
    <row r="1" spans="1:13" ht="17" x14ac:dyDescent="0.2">
      <c r="A1" s="19" t="s">
        <v>443</v>
      </c>
    </row>
    <row r="2" spans="1:13" ht="30" customHeight="1" x14ac:dyDescent="0.2">
      <c r="A2" s="1" t="s">
        <v>444</v>
      </c>
      <c r="B2" s="1"/>
      <c r="C2" s="1"/>
      <c r="D2" s="1"/>
      <c r="E2" s="1"/>
      <c r="F2" s="1"/>
      <c r="G2" s="1"/>
      <c r="H2" s="1"/>
      <c r="I2" s="1"/>
    </row>
    <row r="4" spans="1:13" ht="43.5" customHeight="1" x14ac:dyDescent="0.2">
      <c r="A4" s="5" t="s">
        <v>445</v>
      </c>
      <c r="B4" s="5" t="s">
        <v>446</v>
      </c>
      <c r="C4" s="5" t="s">
        <v>447</v>
      </c>
      <c r="D4" s="5" t="s">
        <v>448</v>
      </c>
      <c r="E4" s="5" t="s">
        <v>449</v>
      </c>
      <c r="F4" s="5" t="s">
        <v>450</v>
      </c>
      <c r="G4" s="5" t="s">
        <v>451</v>
      </c>
      <c r="H4" s="5" t="s">
        <v>452</v>
      </c>
      <c r="I4" s="5" t="s">
        <v>453</v>
      </c>
      <c r="J4" s="5" t="s">
        <v>454</v>
      </c>
      <c r="K4" s="5" t="s">
        <v>455</v>
      </c>
      <c r="L4" s="5" t="s">
        <v>456</v>
      </c>
      <c r="M4" s="5" t="s">
        <v>457</v>
      </c>
    </row>
    <row r="5" spans="1:13" x14ac:dyDescent="0.2">
      <c r="A5" s="20" t="s">
        <v>29</v>
      </c>
      <c r="B5" s="21">
        <f>COUNTIF(Applications!$P$5:$P$88,"*Reis*")</f>
        <v>84</v>
      </c>
      <c r="C5" s="8">
        <f ca="1">IF(COUNTIFS(Applications!$P$5:$P$88,"*Reis*",Applications!$G$5:$G$88,"&gt;="&amp;TODAY())=0,"",_xlfn.MINIFS(Applications!$G$5:$G$88,Applications!$P$5:$P$88,"*Reis*",Applications!$G$5:$G$88,"&gt;="&amp;TODAY()))</f>
        <v>46325</v>
      </c>
      <c r="D5" s="21">
        <f>COUNTIFS(Applications!$P$5:$P$88,"*Reis*",Applications!$G$5:$G$88,"&lt;="&amp;DATE(2026,10,31))</f>
        <v>2</v>
      </c>
      <c r="E5" s="21">
        <f>COUNTIFS(Applications!$P$5:$P$88,"*Reis*",Applications!$G$5:$G$88,"&gt;="&amp;DATE(2026,11,1),Applications!$G$5:$G$88,"&lt;="&amp;DATE(2026,11,8))</f>
        <v>10</v>
      </c>
      <c r="F5" s="21">
        <f>COUNTIFS(Applications!$P$5:$P$88,"*Reis*",Applications!$G$5:$G$88,"&gt;="&amp;DATE(2026,11,9),Applications!$G$5:$G$88,"&lt;="&amp;DATE(2026,11,16))</f>
        <v>35</v>
      </c>
      <c r="G5" s="21">
        <f>COUNTIFS(Applications!$P$5:$P$88,"*Reis*",Applications!$G$5:$G$88,"&gt;="&amp;DATE(2026,11,17),Applications!$G$5:$G$88,"&lt;="&amp;DATE(2026,11,30))</f>
        <v>18</v>
      </c>
      <c r="H5" s="21">
        <f>COUNTIFS(Applications!$P$5:$P$88,"*Reis*",Applications!$G$5:$G$88,"&gt;="&amp;DATE(2026,12,1),Applications!$G$5:$G$88,"&lt;="&amp;DATE(2026,12,31))</f>
        <v>9</v>
      </c>
      <c r="I5" s="21">
        <f>COUNTIFS(Applications!$P$5:$P$88,"*Reis*",Applications!$G$5:$G$88,"&gt;="&amp;DATE(2027,1,1))</f>
        <v>2</v>
      </c>
      <c r="J5" s="21">
        <f>COUNTIFS(Applications!$P$5:$P$88,"*Reis*",Applications!$J$5:$J$88,"*EconJobMarket*")+COUNTIFS(Applications!$P$5:$P$88,"*Reis*",Applications!$J$5:$J$88,"*JOE*")</f>
        <v>47</v>
      </c>
      <c r="K5" s="21">
        <f>COUNTIFS(Applications!$P$5:$P$88,"*Reis*",Applications!$J$5:$J$88,"*Interfolio*")+COUNTIFS(Applications!$P$5:$P$88,"*Reis*",Applications!$J$5:$J$88,"*AcademicJobsOnline*")</f>
        <v>10</v>
      </c>
      <c r="L5" s="21">
        <f>B5-J5-K5</f>
        <v>27</v>
      </c>
      <c r="M5" s="21">
        <f>COUNTIFS(Applications!$P$5:$P$88,"*Reis*",Applications!$Q$5:$Q$88,"Referee action needed")</f>
        <v>22</v>
      </c>
    </row>
    <row r="6" spans="1:13" x14ac:dyDescent="0.2">
      <c r="A6" s="20" t="s">
        <v>30</v>
      </c>
      <c r="B6" s="21">
        <f>COUNTIF(Applications!$P$5:$P$88,"*Benigno*")</f>
        <v>83</v>
      </c>
      <c r="C6" s="8">
        <f ca="1">IF(COUNTIFS(Applications!$P$5:$P$88,"*Benigno*",Applications!$G$5:$G$88,"&gt;="&amp;TODAY())=0,"",_xlfn.MINIFS(Applications!$G$5:$G$88,Applications!$P$5:$P$88,"*Benigno*",Applications!$G$5:$G$88,"&gt;="&amp;TODAY()))</f>
        <v>46325</v>
      </c>
      <c r="D6" s="21">
        <f>COUNTIFS(Applications!$P$5:$P$88,"*Benigno*",Applications!$G$5:$G$88,"&lt;="&amp;DATE(2026,10,31))</f>
        <v>2</v>
      </c>
      <c r="E6" s="21">
        <f>COUNTIFS(Applications!$P$5:$P$88,"*Benigno*",Applications!$G$5:$G$88,"&gt;="&amp;DATE(2026,11,1),Applications!$G$5:$G$88,"&lt;="&amp;DATE(2026,11,8))</f>
        <v>10</v>
      </c>
      <c r="F6" s="21">
        <f>COUNTIFS(Applications!$P$5:$P$88,"*Benigno*",Applications!$G$5:$G$88,"&gt;="&amp;DATE(2026,11,9),Applications!$G$5:$G$88,"&lt;="&amp;DATE(2026,11,16))</f>
        <v>35</v>
      </c>
      <c r="G6" s="21">
        <f>COUNTIFS(Applications!$P$5:$P$88,"*Benigno*",Applications!$G$5:$G$88,"&gt;="&amp;DATE(2026,11,17),Applications!$G$5:$G$88,"&lt;="&amp;DATE(2026,11,30))</f>
        <v>18</v>
      </c>
      <c r="H6" s="21">
        <f>COUNTIFS(Applications!$P$5:$P$88,"*Benigno*",Applications!$G$5:$G$88,"&gt;="&amp;DATE(2026,12,1),Applications!$G$5:$G$88,"&lt;="&amp;DATE(2026,12,31))</f>
        <v>8</v>
      </c>
      <c r="I6" s="21">
        <f>COUNTIFS(Applications!$P$5:$P$88,"*Benigno*",Applications!$G$5:$G$88,"&gt;="&amp;DATE(2027,1,1))</f>
        <v>2</v>
      </c>
      <c r="J6" s="21">
        <f>COUNTIFS(Applications!$P$5:$P$88,"*Benigno*",Applications!$J$5:$J$88,"*EconJobMarket*")+COUNTIFS(Applications!$P$5:$P$88,"*Benigno*",Applications!$J$5:$J$88,"*JOE*")</f>
        <v>47</v>
      </c>
      <c r="K6" s="21">
        <f>COUNTIFS(Applications!$P$5:$P$88,"*Benigno*",Applications!$J$5:$J$88,"*Interfolio*")+COUNTIFS(Applications!$P$5:$P$88,"*Benigno*",Applications!$J$5:$J$88,"*AcademicJobsOnline*")</f>
        <v>10</v>
      </c>
      <c r="L6" s="21">
        <f>B6-J6-K6</f>
        <v>26</v>
      </c>
      <c r="M6" s="21">
        <f>COUNTIFS(Applications!$P$5:$P$88,"*Benigno*",Applications!$Q$5:$Q$88,"Referee action needed")</f>
        <v>21</v>
      </c>
    </row>
    <row r="7" spans="1:13" x14ac:dyDescent="0.2">
      <c r="A7" s="20" t="s">
        <v>47</v>
      </c>
      <c r="B7" s="21">
        <f>COUNTIF(Applications!$P$5:$P$88,"*Hofmann*")</f>
        <v>47</v>
      </c>
      <c r="C7" s="8">
        <f ca="1">IF(COUNTIFS(Applications!$P$5:$P$88,"*Hofmann*",Applications!$G$5:$G$88,"&gt;="&amp;TODAY())=0,"",_xlfn.MINIFS(Applications!$G$5:$G$88,Applications!$P$5:$P$88,"*Hofmann*",Applications!$G$5:$G$88,"&gt;="&amp;TODAY()))</f>
        <v>46327</v>
      </c>
      <c r="D7" s="21">
        <f>COUNTIFS(Applications!$P$5:$P$88,"*Hofmann*",Applications!$G$5:$G$88,"&lt;="&amp;DATE(2026,10,31))</f>
        <v>0</v>
      </c>
      <c r="E7" s="21">
        <f>COUNTIFS(Applications!$P$5:$P$88,"*Hofmann*",Applications!$G$5:$G$88,"&gt;="&amp;DATE(2026,11,1),Applications!$G$5:$G$88,"&lt;="&amp;DATE(2026,11,8))</f>
        <v>8</v>
      </c>
      <c r="F7" s="21">
        <f>COUNTIFS(Applications!$P$5:$P$88,"*Hofmann*",Applications!$G$5:$G$88,"&gt;="&amp;DATE(2026,11,9),Applications!$G$5:$G$88,"&lt;="&amp;DATE(2026,11,16))</f>
        <v>21</v>
      </c>
      <c r="G7" s="21">
        <f>COUNTIFS(Applications!$P$5:$P$88,"*Hofmann*",Applications!$G$5:$G$88,"&gt;="&amp;DATE(2026,11,17),Applications!$G$5:$G$88,"&lt;="&amp;DATE(2026,11,30))</f>
        <v>8</v>
      </c>
      <c r="H7" s="21">
        <f>COUNTIFS(Applications!$P$5:$P$88,"*Hofmann*",Applications!$G$5:$G$88,"&gt;="&amp;DATE(2026,12,1),Applications!$G$5:$G$88,"&lt;="&amp;DATE(2026,12,31))</f>
        <v>6</v>
      </c>
      <c r="I7" s="21">
        <f>COUNTIFS(Applications!$P$5:$P$88,"*Hofmann*",Applications!$G$5:$G$88,"&gt;="&amp;DATE(2027,1,1))</f>
        <v>2</v>
      </c>
      <c r="J7" s="21">
        <f>COUNTIFS(Applications!$P$5:$P$88,"*Hofmann*",Applications!$J$5:$J$88,"*EconJobMarket*")+COUNTIFS(Applications!$P$5:$P$88,"*Hofmann*",Applications!$J$5:$J$88,"*JOE*")</f>
        <v>35</v>
      </c>
      <c r="K7" s="21">
        <f>COUNTIFS(Applications!$P$5:$P$88,"*Hofmann*",Applications!$J$5:$J$88,"*Interfolio*")+COUNTIFS(Applications!$P$5:$P$88,"*Hofmann*",Applications!$J$5:$J$88,"*AcademicJobsOnline*")</f>
        <v>5</v>
      </c>
      <c r="L7" s="21">
        <f>B7-J7-K7</f>
        <v>7</v>
      </c>
      <c r="M7" s="21">
        <f>COUNTIFS(Applications!$P$5:$P$88,"*Hofmann*",Applications!$Q$5:$Q$88,"Referee action needed")</f>
        <v>7</v>
      </c>
    </row>
    <row r="8" spans="1:13" x14ac:dyDescent="0.2">
      <c r="A8" s="20" t="s">
        <v>56</v>
      </c>
      <c r="B8" s="21">
        <f>COUNTIF(Applications!$P$5:$P$88,"*Chaudhary*")</f>
        <v>25</v>
      </c>
      <c r="C8" s="8">
        <f ca="1">IF(COUNTIFS(Applications!$P$5:$P$88,"*Chaudhary*",Applications!$G$5:$G$88,"&gt;="&amp;TODAY())=0,"",_xlfn.MINIFS(Applications!$G$5:$G$88,Applications!$P$5:$P$88,"*Chaudhary*",Applications!$G$5:$G$88,"&gt;="&amp;TODAY()))</f>
        <v>46327</v>
      </c>
      <c r="D8" s="21">
        <f>COUNTIFS(Applications!$P$5:$P$88,"*Chaudhary*",Applications!$G$5:$G$88,"&lt;="&amp;DATE(2026,10,31))</f>
        <v>0</v>
      </c>
      <c r="E8" s="21">
        <f>COUNTIFS(Applications!$P$5:$P$88,"*Chaudhary*",Applications!$G$5:$G$88,"&gt;="&amp;DATE(2026,11,1),Applications!$G$5:$G$88,"&lt;="&amp;DATE(2026,11,8))</f>
        <v>1</v>
      </c>
      <c r="F8" s="21">
        <f>COUNTIFS(Applications!$P$5:$P$88,"*Chaudhary*",Applications!$G$5:$G$88,"&gt;="&amp;DATE(2026,11,9),Applications!$G$5:$G$88,"&lt;="&amp;DATE(2026,11,16))</f>
        <v>11</v>
      </c>
      <c r="G8" s="21">
        <f>COUNTIFS(Applications!$P$5:$P$88,"*Chaudhary*",Applications!$G$5:$G$88,"&gt;="&amp;DATE(2026,11,17),Applications!$G$5:$G$88,"&lt;="&amp;DATE(2026,11,30))</f>
        <v>8</v>
      </c>
      <c r="H8" s="21">
        <f>COUNTIFS(Applications!$P$5:$P$88,"*Chaudhary*",Applications!$G$5:$G$88,"&gt;="&amp;DATE(2026,12,1),Applications!$G$5:$G$88,"&lt;="&amp;DATE(2026,12,31))</f>
        <v>1</v>
      </c>
      <c r="I8" s="21">
        <f>COUNTIFS(Applications!$P$5:$P$88,"*Chaudhary*",Applications!$G$5:$G$88,"&gt;="&amp;DATE(2027,1,1))</f>
        <v>0</v>
      </c>
      <c r="J8" s="21">
        <f>COUNTIFS(Applications!$P$5:$P$88,"*Chaudhary*",Applications!$J$5:$J$88,"*EconJobMarket*")+COUNTIFS(Applications!$P$5:$P$88,"*Chaudhary*",Applications!$J$5:$J$88,"*JOE*")</f>
        <v>9</v>
      </c>
      <c r="K8" s="21">
        <f>COUNTIFS(Applications!$P$5:$P$88,"*Chaudhary*",Applications!$J$5:$J$88,"*Interfolio*")+COUNTIFS(Applications!$P$5:$P$88,"*Chaudhary*",Applications!$J$5:$J$88,"*AcademicJobsOnline*")</f>
        <v>4</v>
      </c>
      <c r="L8" s="21">
        <f>B8-J8-K8</f>
        <v>12</v>
      </c>
      <c r="M8" s="21">
        <f>COUNTIFS(Applications!$P$5:$P$88,"*Chaudhary*",Applications!$Q$5:$Q$88,"Referee action needed")</f>
        <v>8</v>
      </c>
    </row>
    <row r="12" spans="1:13" ht="43.5" customHeight="1" x14ac:dyDescent="0.2">
      <c r="A12" s="3" t="s">
        <v>458</v>
      </c>
      <c r="B12" s="3"/>
      <c r="C12" s="3"/>
      <c r="D12" s="3"/>
      <c r="E12" s="3"/>
      <c r="F12" s="3"/>
      <c r="G12" s="3"/>
      <c r="H12" s="3"/>
      <c r="I12" s="3"/>
      <c r="J12" s="3"/>
      <c r="K12" s="3"/>
      <c r="L12" s="3"/>
      <c r="M12" s="3"/>
    </row>
  </sheetData>
  <mergeCells count="2">
    <mergeCell ref="A2:I2"/>
    <mergeCell ref="A12:M1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2"/>
  <sheetViews>
    <sheetView zoomScaleNormal="100" workbookViewId="0"/>
  </sheetViews>
  <sheetFormatPr baseColWidth="10" defaultColWidth="8.6640625" defaultRowHeight="15" x14ac:dyDescent="0.2"/>
  <cols>
    <col min="1" max="1" width="24" customWidth="1"/>
    <col min="2" max="2" width="46" customWidth="1"/>
    <col min="3" max="3" width="40" customWidth="1"/>
    <col min="4" max="4" width="70" customWidth="1"/>
  </cols>
  <sheetData>
    <row r="1" spans="1:4" ht="17" x14ac:dyDescent="0.2">
      <c r="A1" s="19" t="s">
        <v>459</v>
      </c>
    </row>
    <row r="3" spans="1:4" ht="30" customHeight="1" x14ac:dyDescent="0.2">
      <c r="A3" s="22" t="s">
        <v>460</v>
      </c>
      <c r="B3" s="22" t="s">
        <v>461</v>
      </c>
      <c r="C3" s="22" t="s">
        <v>462</v>
      </c>
      <c r="D3" s="22" t="s">
        <v>19</v>
      </c>
    </row>
    <row r="4" spans="1:4" ht="94.5" customHeight="1" x14ac:dyDescent="0.2">
      <c r="A4" s="7" t="s">
        <v>463</v>
      </c>
      <c r="B4" s="7" t="s">
        <v>464</v>
      </c>
      <c r="C4" s="7" t="s">
        <v>465</v>
      </c>
      <c r="D4" s="7" t="s">
        <v>466</v>
      </c>
    </row>
    <row r="5" spans="1:4" ht="94.5" customHeight="1" x14ac:dyDescent="0.2">
      <c r="A5" s="7" t="s">
        <v>62</v>
      </c>
      <c r="B5" s="7" t="s">
        <v>467</v>
      </c>
      <c r="C5" s="7" t="s">
        <v>468</v>
      </c>
      <c r="D5" s="7" t="s">
        <v>469</v>
      </c>
    </row>
    <row r="6" spans="1:4" ht="94.5" customHeight="1" x14ac:dyDescent="0.2">
      <c r="A6" s="7" t="s">
        <v>470</v>
      </c>
      <c r="B6" s="7" t="s">
        <v>471</v>
      </c>
      <c r="C6" s="7" t="s">
        <v>472</v>
      </c>
      <c r="D6" s="7" t="s">
        <v>473</v>
      </c>
    </row>
    <row r="7" spans="1:4" ht="94.5" customHeight="1" x14ac:dyDescent="0.2">
      <c r="A7" s="7" t="s">
        <v>474</v>
      </c>
      <c r="B7" s="7" t="s">
        <v>475</v>
      </c>
      <c r="C7" s="7" t="s">
        <v>476</v>
      </c>
      <c r="D7" s="7" t="s">
        <v>477</v>
      </c>
    </row>
    <row r="8" spans="1:4" ht="94.5" customHeight="1" x14ac:dyDescent="0.2">
      <c r="A8" s="7" t="s">
        <v>478</v>
      </c>
      <c r="B8" s="7" t="s">
        <v>479</v>
      </c>
      <c r="C8" s="7" t="s">
        <v>480</v>
      </c>
      <c r="D8" s="7" t="s">
        <v>481</v>
      </c>
    </row>
    <row r="9" spans="1:4" ht="94.5" customHeight="1" x14ac:dyDescent="0.2">
      <c r="A9" s="7" t="s">
        <v>482</v>
      </c>
      <c r="B9" s="7" t="s">
        <v>483</v>
      </c>
      <c r="C9" s="7" t="s">
        <v>484</v>
      </c>
      <c r="D9" s="7" t="s">
        <v>485</v>
      </c>
    </row>
    <row r="10" spans="1:4" ht="94.5" customHeight="1" x14ac:dyDescent="0.2">
      <c r="A10" s="7" t="s">
        <v>486</v>
      </c>
      <c r="B10" s="7" t="s">
        <v>487</v>
      </c>
      <c r="C10" s="7" t="s">
        <v>488</v>
      </c>
      <c r="D10" s="7" t="s">
        <v>489</v>
      </c>
    </row>
    <row r="12" spans="1:4" ht="39.75" customHeight="1" x14ac:dyDescent="0.2">
      <c r="A12" s="3" t="s">
        <v>490</v>
      </c>
      <c r="B12" s="3"/>
      <c r="C12" s="3"/>
      <c r="D12" s="3"/>
    </row>
  </sheetData>
  <mergeCells count="1">
    <mergeCell ref="A12:D1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Applications</vt:lpstr>
      <vt:lpstr>By referee</vt:lpstr>
      <vt:lpstr>How to submit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Arcidiacono, Cristian (VWI)</cp:lastModifiedBy>
  <cp:revision>0</cp:revision>
  <dcterms:created xsi:type="dcterms:W3CDTF">2026-10-19T08:59:08Z</dcterms:created>
  <dcterms:modified xsi:type="dcterms:W3CDTF">2026-10-19T09:11:43Z</dcterms:modified>
  <dc:language>en-US</dc:language>
</cp:coreProperties>
</file>