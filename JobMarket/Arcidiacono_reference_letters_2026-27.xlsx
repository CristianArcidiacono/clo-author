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cristianarcidiacono/Library/CloudStorage/Dropbox/Job_Market_2026_27/"/>
    </mc:Choice>
  </mc:AlternateContent>
  <xr:revisionPtr revIDLastSave="0" documentId="13_ncr:1_{5E2236D6-3926-354F-8632-0A570498D58D}" xr6:coauthVersionLast="47" xr6:coauthVersionMax="47" xr10:uidLastSave="{00000000-0000-0000-0000-000000000000}"/>
  <bookViews>
    <workbookView xWindow="0" yWindow="660" windowWidth="30240" windowHeight="18980" tabRatio="500" xr2:uid="{00000000-000D-0000-FFFF-FFFF00000000}"/>
  </bookViews>
  <sheets>
    <sheet name="Applications" sheetId="1" r:id="rId1"/>
    <sheet name="By referee" sheetId="2" r:id="rId2"/>
  </sheets>
  <definedNames>
    <definedName name="_xlnm._FilterDatabase" localSheetId="0" hidden="1">Applications!$A$4:$P$145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O6" i="1" l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5" i="1"/>
  <c r="C5" i="2"/>
  <c r="B5" i="2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M8" i="2" l="1"/>
  <c r="K8" i="2"/>
  <c r="J8" i="2"/>
  <c r="I8" i="2"/>
  <c r="H8" i="2"/>
  <c r="G8" i="2"/>
  <c r="F8" i="2"/>
  <c r="E8" i="2"/>
  <c r="D8" i="2"/>
  <c r="C8" i="2"/>
  <c r="B8" i="2"/>
  <c r="M7" i="2"/>
  <c r="K7" i="2"/>
  <c r="J7" i="2"/>
  <c r="I7" i="2"/>
  <c r="H7" i="2"/>
  <c r="G7" i="2"/>
  <c r="F7" i="2"/>
  <c r="K6" i="2"/>
  <c r="E7" i="2"/>
  <c r="D7" i="2"/>
  <c r="C7" i="2"/>
  <c r="B7" i="2"/>
  <c r="M5" i="2"/>
  <c r="K5" i="2"/>
  <c r="J5" i="2"/>
  <c r="I5" i="2"/>
  <c r="H5" i="2"/>
  <c r="G5" i="2"/>
  <c r="F5" i="2"/>
  <c r="E5" i="2"/>
  <c r="D5" i="2"/>
  <c r="M6" i="2"/>
  <c r="J6" i="2"/>
  <c r="I6" i="2"/>
  <c r="H6" i="2"/>
  <c r="G6" i="2"/>
  <c r="F6" i="2"/>
  <c r="E6" i="2"/>
  <c r="D6" i="2"/>
  <c r="C6" i="2"/>
  <c r="B6" i="2"/>
  <c r="L8" i="2" l="1"/>
  <c r="L7" i="2"/>
  <c r="L5" i="2"/>
  <c r="L6" i="2"/>
</calcChain>
</file>

<file path=xl/sharedStrings.xml><?xml version="1.0" encoding="utf-8"?>
<sst xmlns="http://schemas.openxmlformats.org/spreadsheetml/2006/main" count="1414" uniqueCount="612">
  <si>
    <t>Institution</t>
  </si>
  <si>
    <t>Position</t>
  </si>
  <si>
    <t>Location</t>
  </si>
  <si>
    <t>Track · letter set</t>
  </si>
  <si>
    <t>Application deadline</t>
  </si>
  <si>
    <t>Letters due</t>
  </si>
  <si>
    <t>Days until letters due</t>
  </si>
  <si>
    <t>Letters required</t>
  </si>
  <si>
    <t>How letters are submitted</t>
  </si>
  <si>
    <t>Portal / address / timing</t>
  </si>
  <si>
    <t>Referee 1</t>
  </si>
  <si>
    <t>Referee 2</t>
  </si>
  <si>
    <t>Referee 3</t>
  </si>
  <si>
    <t>Referee 4</t>
  </si>
  <si>
    <t>All referees</t>
  </si>
  <si>
    <t>St John's College, Oxford</t>
  </si>
  <si>
    <t>Career Development Research Fellowship in Economics (4 yrs from Oct 2027)</t>
  </si>
  <si>
    <t>Oxford, UK</t>
  </si>
  <si>
    <t>Fellowship · Macro / economics</t>
  </si>
  <si>
    <t>Names only at submission; 2 reports requested by the college</t>
  </si>
  <si>
    <t>College requests reports directly</t>
  </si>
  <si>
    <t>Reports due 12:00 noon UK, Fri 30 Oct; application 1pm Fri 23 Oct</t>
  </si>
  <si>
    <t>Reis</t>
  </si>
  <si>
    <t>Benigno</t>
  </si>
  <si>
    <t>Names only</t>
  </si>
  <si>
    <t>Milan, IT</t>
  </si>
  <si>
    <t>Hofmann</t>
  </si>
  <si>
    <t>On platform – check attached</t>
  </si>
  <si>
    <t>University of St. Gallen</t>
  </si>
  <si>
    <t>Assistant Professor (tenure track), Macroeconomics</t>
  </si>
  <si>
    <t>St. Gallen, CH</t>
  </si>
  <si>
    <t>Academic · Macro / economics</t>
  </si>
  <si>
    <t>University portal (facultyrecruiting.unisg.ch)</t>
  </si>
  <si>
    <t>Contact facultyposition@unisg.ch (Prof. Winfried Koeniger)</t>
  </si>
  <si>
    <t>Referee action needed</t>
  </si>
  <si>
    <t>OECD, Economics Department</t>
  </si>
  <si>
    <t>Junior Economists / Economists (2-yr, Paris)</t>
  </si>
  <si>
    <t>Paris, FR</t>
  </si>
  <si>
    <t>Policy</t>
  </si>
  <si>
    <t>EconJobMarket (ad 12569) + email</t>
  </si>
  <si>
    <t>econjobmarket.org/positions/12569; JMP/CV/cover letter to mathieu.miranda@oecd.org</t>
  </si>
  <si>
    <t>Northwestern Kellogg</t>
  </si>
  <si>
    <t>Assistant Professor of Finance</t>
  </si>
  <si>
    <t>Evanston, US</t>
  </si>
  <si>
    <t>Academic · Finance</t>
  </si>
  <si>
    <t>Kellogg faculty-recruiting portal</t>
  </si>
  <si>
    <t>facultyrecruiting.northwestern.edu/apply/MjYzMg</t>
  </si>
  <si>
    <t>Chaudhary</t>
  </si>
  <si>
    <t>Texas A&amp;M University</t>
  </si>
  <si>
    <t>Assistant Professor of International Macroeconomics</t>
  </si>
  <si>
    <t>College Station, US</t>
  </si>
  <si>
    <t>Not stated – check ad</t>
  </si>
  <si>
    <t>AEA JOE</t>
  </si>
  <si>
    <t>JOE listing (Aug 2026)</t>
  </si>
  <si>
    <t>EPFL / Swiss Finance Institute</t>
  </si>
  <si>
    <t>Faculty positions in Finance (two posts, one ad)</t>
  </si>
  <si>
    <t>Lausanne, CH</t>
  </si>
  <si>
    <t>Names only (3–5)</t>
  </si>
  <si>
    <t>Names supplied; EPFL requests letters later</t>
  </si>
  <si>
    <t>epfl.ch/about/working/?p=9052</t>
  </si>
  <si>
    <t>Universitat Autònoma de Barcelona (UFAE / BSE)</t>
  </si>
  <si>
    <t>Assistant and Associate Professor positions (any field)</t>
  </si>
  <si>
    <t>Bellaterra, ES</t>
  </si>
  <si>
    <t>EconJobMarket (ad 12666)</t>
  </si>
  <si>
    <t>Online interviews 9–11 Dec</t>
  </si>
  <si>
    <t>Imperial College Business School</t>
  </si>
  <si>
    <t>Assistant/Associate/Full Professor in Economics</t>
  </si>
  <si>
    <t>London, UK</t>
  </si>
  <si>
    <t>EconJobMarket (ad 12773)</t>
  </si>
  <si>
    <t>econjobmarket.org/positions/12773</t>
  </si>
  <si>
    <t>Basel, CH</t>
  </si>
  <si>
    <t>Oxford Saïd Business School</t>
  </si>
  <si>
    <t>Tenure-track position in Financial Economics</t>
  </si>
  <si>
    <t>None at this stage</t>
  </si>
  <si>
    <t>Expression-of-interest stage only</t>
  </si>
  <si>
    <t>careers.sbs.ox.ac.uk vacancy 1024</t>
  </si>
  <si>
    <t>Not needed yet</t>
  </si>
  <si>
    <t>MIT, Department of Economics</t>
  </si>
  <si>
    <t>Assistant Professor (any field)</t>
  </si>
  <si>
    <t>Cambridge MA, US</t>
  </si>
  <si>
    <t>MIT portal / EconJobMarket (ad 12621)</t>
  </si>
  <si>
    <t>Letters also due 6 Nov</t>
  </si>
  <si>
    <t>Stanford University, Department of Economics</t>
  </si>
  <si>
    <t>Stanford, US</t>
  </si>
  <si>
    <t>EconJobMarket (ad 12662)</t>
  </si>
  <si>
    <t>Cornell University, Economics</t>
  </si>
  <si>
    <t>Assistant Professor (international)</t>
  </si>
  <si>
    <t>Ithaca, US</t>
  </si>
  <si>
    <t>See JOE ad</t>
  </si>
  <si>
    <t>Yale University, Department of Economics</t>
  </si>
  <si>
    <t>New Haven, US</t>
  </si>
  <si>
    <t>Interfolio 192292</t>
  </si>
  <si>
    <t>JOE shows 31 Jan 2027, but the ad asks for applications before 7 Nov</t>
  </si>
  <si>
    <t>University of Michigan</t>
  </si>
  <si>
    <t>Ann Arbor, US</t>
  </si>
  <si>
    <t>EconJobMarket (ad 12669)</t>
  </si>
  <si>
    <t>First consideration 7 Nov; final 31 Dec</t>
  </si>
  <si>
    <t>Federal Reserve Bank of New York</t>
  </si>
  <si>
    <t>Economist (PhD), Research &amp; Statistics</t>
  </si>
  <si>
    <t>New York, US</t>
  </si>
  <si>
    <t>NY Fed Workday portal</t>
  </si>
  <si>
    <t>Letters accepted up to one week after the application deadline</t>
  </si>
  <si>
    <t>Bank for International Settlements (MED)</t>
  </si>
  <si>
    <t>Economist / Senior Economist / Principal Economist</t>
  </si>
  <si>
    <t>AEA JOE only</t>
  </si>
  <si>
    <t>JOE listing 2026-02_111478115 – letters uploaded through JOE</t>
  </si>
  <si>
    <t>Toulouse School of Economics</t>
  </si>
  <si>
    <t>Assistant Professor (tenure track)</t>
  </si>
  <si>
    <t>Toulouse, FR</t>
  </si>
  <si>
    <t>EconJobMarket (ad 12736)</t>
  </si>
  <si>
    <t>econjobmarket.org/positions/12736</t>
  </si>
  <si>
    <t>University of Konstanz</t>
  </si>
  <si>
    <t>Assistant Professor / Postdoc (economics)</t>
  </si>
  <si>
    <t>Konstanz, DE</t>
  </si>
  <si>
    <t>See ad</t>
  </si>
  <si>
    <t>Clare / Churchill / Fitzwilliam / Murray Edwards / Trinity Hall (Cambridge)</t>
  </si>
  <si>
    <t>Early Career Research Fellowships 2027 (joint scheme, 3 yrs)</t>
  </si>
  <si>
    <t>Cambridge, UK</t>
  </si>
  <si>
    <t>Per further particulars (jrf.chu.cam.ac.uk/rf_2027)</t>
  </si>
  <si>
    <t>College online form</t>
  </si>
  <si>
    <t>clare.cam.ac.uk/JRF-Eligibility</t>
  </si>
  <si>
    <t>Harvard Business School – BGIE</t>
  </si>
  <si>
    <t>Assistant Professor, Business, Government &amp; the International Economy</t>
  </si>
  <si>
    <t>Boston, US</t>
  </si>
  <si>
    <t>Interfolio 192151</t>
  </si>
  <si>
    <t>apply.interfolio.com/192151</t>
  </si>
  <si>
    <t>INSEAD, Finance Area</t>
  </si>
  <si>
    <t>Fontainebleau, FR</t>
  </si>
  <si>
    <t>3 or more – uploaded by the candidate</t>
  </si>
  <si>
    <t>Interfolio 194812 – candidate uploads confidential letters</t>
  </si>
  <si>
    <t>apply.interfolio.com/194812</t>
  </si>
  <si>
    <t>Stanford GSB, Economics</t>
  </si>
  <si>
    <t>Faculty positions in Economics</t>
  </si>
  <si>
    <t>AcademicJobsOnline</t>
  </si>
  <si>
    <t>Research institute · Macro / economics</t>
  </si>
  <si>
    <t>Banca d'Italia</t>
  </si>
  <si>
    <t>Research Fellowships for young economists 2026 (4 posts; 12+12 months, from Nov 2027)</t>
  </si>
  <si>
    <t>Rome, IT</t>
  </si>
  <si>
    <t>At least 2 – SIGNED, sent by the referee</t>
  </si>
  <si>
    <t>Referee emails the letter directly to the Bank</t>
  </si>
  <si>
    <t>personale.fellowship@bancaditalia.it – deadline 12:00 CET, 13 Nov</t>
  </si>
  <si>
    <t>EIEF (Einaudi Institute)</t>
  </si>
  <si>
    <t>Assistant Professor (2 posts)</t>
  </si>
  <si>
    <t>EconJobMarket (ad 12688)</t>
  </si>
  <si>
    <t>econjobmarket.org/positions/12688</t>
  </si>
  <si>
    <t>IIES, Stockholm University</t>
  </si>
  <si>
    <t>Tenure-track Assistant Professor</t>
  </si>
  <si>
    <t>Stockholm, SE</t>
  </si>
  <si>
    <t>EconJobMarket (ad 12840)</t>
  </si>
  <si>
    <t>econjobmarket.org/positions/12840</t>
  </si>
  <si>
    <t>UCL, Department of Economics</t>
  </si>
  <si>
    <t>Assistant Professor (Lecturer) in Economics</t>
  </si>
  <si>
    <t>EconJobMarket (ad 12850)</t>
  </si>
  <si>
    <t>econjobmarket.org/positions/12850</t>
  </si>
  <si>
    <t>UCL, Economics / School of Management</t>
  </si>
  <si>
    <t>Assistant Professor (Lecturer) in Finance</t>
  </si>
  <si>
    <t>EconJobMarket (ad 12826)</t>
  </si>
  <si>
    <t>econjobmarket.org/positions/12826</t>
  </si>
  <si>
    <t>HEC Paris</t>
  </si>
  <si>
    <t>Jouy-en-Josas, FR</t>
  </si>
  <si>
    <t>EconJobMarket (ad 12819)</t>
  </si>
  <si>
    <t>econjobmarket.org/positions/12819</t>
  </si>
  <si>
    <t>Columbia University, Economics</t>
  </si>
  <si>
    <t>Assistant Professor (junior)</t>
  </si>
  <si>
    <t>EconJobMarket (ad 12750)</t>
  </si>
  <si>
    <t>econjobmarket.org/positions/12750</t>
  </si>
  <si>
    <t>LSE, Department of Finance</t>
  </si>
  <si>
    <t>AEA JOE / LSE portal</t>
  </si>
  <si>
    <t>McGill, Desautels</t>
  </si>
  <si>
    <t>Tenure-track position in Finance</t>
  </si>
  <si>
    <t>Montréal, CA</t>
  </si>
  <si>
    <t>McGill Workday</t>
  </si>
  <si>
    <t>Date unverified</t>
  </si>
  <si>
    <t>Yale School of Management</t>
  </si>
  <si>
    <t>Assistant or Associate Professor of Economics</t>
  </si>
  <si>
    <t>Interfolio 195222</t>
  </si>
  <si>
    <t>apply.interfolio.com/195222</t>
  </si>
  <si>
    <t>Universidad Carlos III de Madrid</t>
  </si>
  <si>
    <t>Assistant Professor of Economics</t>
  </si>
  <si>
    <t>Getafe, ES</t>
  </si>
  <si>
    <t>EconJobMarket (ad 12677)</t>
  </si>
  <si>
    <t>Online interviews 14–17 Dec</t>
  </si>
  <si>
    <t>University College London – Stone Centre</t>
  </si>
  <si>
    <t>Research Fellow (wealth inequality, macro)</t>
  </si>
  <si>
    <t>EconJobMarket (ad 12781)</t>
  </si>
  <si>
    <t>Bocconi University, Department of Finance</t>
  </si>
  <si>
    <t>Assistant Professor of Finance (tenure track)</t>
  </si>
  <si>
    <t>Bocconi job-market portal</t>
  </si>
  <si>
    <t>jobmarket.unibocconi.eu/?id=1005 – 23:59 Italian time</t>
  </si>
  <si>
    <t>Université de Montréal</t>
  </si>
  <si>
    <t>Assistant Professor of Macroeconomics</t>
  </si>
  <si>
    <t>EconJobMarket (ad 12645)</t>
  </si>
  <si>
    <t>econjobmarket.org/positions/12645</t>
  </si>
  <si>
    <t>Erasmus School of Economics</t>
  </si>
  <si>
    <t>Assistant Professor in Macroeconomics / International Economics (TT)</t>
  </si>
  <si>
    <t>Rotterdam, NL</t>
  </si>
  <si>
    <t>EconJobMarket (ad 12857)</t>
  </si>
  <si>
    <t>econjobmarket.org/positions/12857</t>
  </si>
  <si>
    <t>University of Mannheim</t>
  </si>
  <si>
    <t>Assistant Professorships (W1) in Empirical / Quantitative Macroeconomics</t>
  </si>
  <si>
    <t>Mannheim, DE</t>
  </si>
  <si>
    <t>Not stated in ad (EJM form: 3)</t>
  </si>
  <si>
    <t>EconJobMarket only (ad 12801)</t>
  </si>
  <si>
    <t>econjobmarket.org/positions/12801</t>
  </si>
  <si>
    <t>Université de Genève – GFRI</t>
  </si>
  <si>
    <t>Assistant/Associate Professor (TT) in Finance, ref. 7008</t>
  </si>
  <si>
    <t>Geneva, CH</t>
  </si>
  <si>
    <t>None now ('not requested for now')</t>
  </si>
  <si>
    <t>—</t>
  </si>
  <si>
    <t>Danmarks Nationalbank</t>
  </si>
  <si>
    <t>Economist / Senior Economist / Adviser (international macro-finance: FX, capital flows)</t>
  </si>
  <si>
    <t>Copenhagen, DK</t>
  </si>
  <si>
    <t>EconJobMarket (ad 12834)</t>
  </si>
  <si>
    <t>Interviews in the EEA job-market window, 14–17 Dec</t>
  </si>
  <si>
    <t>IE University – School of Politics, Economics &amp; Global Affairs</t>
  </si>
  <si>
    <t>Tenure-track Faculty in Economics (macro, monetary, time-series econometrics)</t>
  </si>
  <si>
    <t>Madrid, ES</t>
  </si>
  <si>
    <t>EconJobMarket (ad 12742)</t>
  </si>
  <si>
    <t>Université de Genève – GSEM</t>
  </si>
  <si>
    <t>Tenure-track Assistant Professor in Economics</t>
  </si>
  <si>
    <t>Names only (list of 3)</t>
  </si>
  <si>
    <t>EconJobMarket (ad 12769)</t>
  </si>
  <si>
    <t>Full consideration 15 Nov; final 31 Jan 2027</t>
  </si>
  <si>
    <t>IE University</t>
  </si>
  <si>
    <t>Tenure-track Assistant Professor of Finance</t>
  </si>
  <si>
    <t>EconJobMarket (ad 12674)</t>
  </si>
  <si>
    <t>CUNEF Universidad</t>
  </si>
  <si>
    <t>Assistant Professor (Economics / Finance)</t>
  </si>
  <si>
    <t>EconJobMarket (ad 12691)</t>
  </si>
  <si>
    <t>University of Zurich, Finance</t>
  </si>
  <si>
    <t>Assistant Professorship in Finance (TT)</t>
  </si>
  <si>
    <t>Zurich, CH</t>
  </si>
  <si>
    <t>jobs.uzh.ch</t>
  </si>
  <si>
    <t>University of Bonn</t>
  </si>
  <si>
    <t>Postdoctoral positions in Macroeconomics (2)</t>
  </si>
  <si>
    <t>Bonn, DE</t>
  </si>
  <si>
    <t>EconJobMarket</t>
  </si>
  <si>
    <t>SOFI, Stockholm University</t>
  </si>
  <si>
    <t>Assistant Professor (labour)</t>
  </si>
  <si>
    <t>Institute for Fiscal Studies</t>
  </si>
  <si>
    <t>Research Economist – Postdoctoral / Postdoctoral Fellow</t>
  </si>
  <si>
    <t>EconJobMarket (ads 12705 / 12665)</t>
  </si>
  <si>
    <t>Williams College</t>
  </si>
  <si>
    <t>Williamstown, US</t>
  </si>
  <si>
    <t>Interfolio 190595</t>
  </si>
  <si>
    <t>MIT Sloan</t>
  </si>
  <si>
    <t>Assistant Professor (Finance / Economics)</t>
  </si>
  <si>
    <t>University of Notre Dame</t>
  </si>
  <si>
    <t>Assistant Professor (macro priority)</t>
  </si>
  <si>
    <t>Notre Dame, US</t>
  </si>
  <si>
    <t>Interfolio 188748</t>
  </si>
  <si>
    <t>Priority date 15 Nov</t>
  </si>
  <si>
    <t>Federal Reserve Bank of Dallas</t>
  </si>
  <si>
    <t>Economists / Senior Economists (macro, monetary, international, finance)</t>
  </si>
  <si>
    <t>Dallas, US</t>
  </si>
  <si>
    <t>EconJobMarket (ad 12793)</t>
  </si>
  <si>
    <t>econjobmarket.org/positions/12793 – letters must be RECEIVED by the deadline</t>
  </si>
  <si>
    <t>Inter-American Development Bank, Research Dept</t>
  </si>
  <si>
    <t>Research Economists</t>
  </si>
  <si>
    <t>Washington DC, US</t>
  </si>
  <si>
    <t>AEA JOE (letters) + IDB careers site</t>
  </si>
  <si>
    <t>JOE listing 2026-02_111478277</t>
  </si>
  <si>
    <t>Assistant/Associate/Full Professor in Finance</t>
  </si>
  <si>
    <t>Tilburg University</t>
  </si>
  <si>
    <t>Assistant Professor in Economics (open field)</t>
  </si>
  <si>
    <t>Tilburg, NL</t>
  </si>
  <si>
    <t>EconJobMarket (ad 12825)</t>
  </si>
  <si>
    <t>EEA job-market participant</t>
  </si>
  <si>
    <t>Utrecht University School of Economics</t>
  </si>
  <si>
    <t>Assistant Professor in Economics (public economics)</t>
  </si>
  <si>
    <t>Utrecht, NL</t>
  </si>
  <si>
    <t>2–3</t>
  </si>
  <si>
    <t>EconJobMarket (ad 12817)</t>
  </si>
  <si>
    <t>Católica Lisbon SBE</t>
  </si>
  <si>
    <t>Assistant Professor (TT) in Finance</t>
  </si>
  <si>
    <t>Lisbon, PT</t>
  </si>
  <si>
    <t>EconJobMarket (ad 12663)</t>
  </si>
  <si>
    <t>Target date 8 Nov</t>
  </si>
  <si>
    <t>Federal Reserve Bank of Cleveland</t>
  </si>
  <si>
    <t>Economist / Senior Economist</t>
  </si>
  <si>
    <t>Cleveland, US</t>
  </si>
  <si>
    <t>EconJobMarket (ad 12654)</t>
  </si>
  <si>
    <t>Full consideration 15 Nov; final 6 Dec</t>
  </si>
  <si>
    <t>DePaul University</t>
  </si>
  <si>
    <t>Assistant Professor of Economics (international macro, macro-finance)</t>
  </si>
  <si>
    <t>Chicago, US</t>
  </si>
  <si>
    <t>Interfolio 188852</t>
  </si>
  <si>
    <t>Preference before 15 Nov; final 31 Jan 2027</t>
  </si>
  <si>
    <t>University of Georgia – Terry College</t>
  </si>
  <si>
    <t>Assistant/Associate Professor, Macroeconomics</t>
  </si>
  <si>
    <t>Athens GA, US</t>
  </si>
  <si>
    <t>UGA portal + AEA JOE</t>
  </si>
  <si>
    <t>Bocconi University, Economics (call 987)</t>
  </si>
  <si>
    <t>Assistant Professor of Economics (junior) – CONDITIONAL</t>
  </si>
  <si>
    <t>jobmarket.unibocconi.eu/?id=987</t>
  </si>
  <si>
    <t>Maastricht University</t>
  </si>
  <si>
    <t>Assistant Professor, Macroeconomics – CONDITIONAL</t>
  </si>
  <si>
    <t>Maastricht, NL</t>
  </si>
  <si>
    <t>2 contacts</t>
  </si>
  <si>
    <t>AcademicTransfer</t>
  </si>
  <si>
    <t>Interviews at EEA job market 14–17 Dec</t>
  </si>
  <si>
    <t>Northwestern University, Department of Economics</t>
  </si>
  <si>
    <t>EconJobMarket (ad 12570)</t>
  </si>
  <si>
    <t>Princeton University, Department of Economics</t>
  </si>
  <si>
    <t>Princeton, US</t>
  </si>
  <si>
    <t>Interfolio 191051</t>
  </si>
  <si>
    <t>JOE says 15 Nov; EJM 12577 says 1 Dec with review from 15 Nov — use 15 Nov</t>
  </si>
  <si>
    <t>University of Wisconsin–Madison</t>
  </si>
  <si>
    <t>Assistant Professor of Economics (broad, incl. macro and international)</t>
  </si>
  <si>
    <t>Madison, US</t>
  </si>
  <si>
    <t>jobs.wisc.edu JR10014688 / EconJobMarket (ad 12637)</t>
  </si>
  <si>
    <t>University of Texas at Austin, Department of Economics</t>
  </si>
  <si>
    <t>Assistant Professor (one slot macro/international)</t>
  </si>
  <si>
    <t>Austin, US</t>
  </si>
  <si>
    <t>Johns Hopkins University</t>
  </si>
  <si>
    <t>Assistant Professor (open field)</t>
  </si>
  <si>
    <t>Baltimore, US</t>
  </si>
  <si>
    <t>Interfolio 193762</t>
  </si>
  <si>
    <t>Priority 15 Nov; final 31 Dec</t>
  </si>
  <si>
    <t>TT Assistant Professor (any field)</t>
  </si>
  <si>
    <t>Rice University</t>
  </si>
  <si>
    <t>Open rank, Labor and Public Economics</t>
  </si>
  <si>
    <t>Houston, US</t>
  </si>
  <si>
    <t>Interfolio 192587 / EconJobMarket (ad 12638)</t>
  </si>
  <si>
    <t>Full consideration 15 Nov</t>
  </si>
  <si>
    <t>Duke Fuqua</t>
  </si>
  <si>
    <t>Tenure-track faculty, Finance</t>
  </si>
  <si>
    <t>Durham, US</t>
  </si>
  <si>
    <t>AcademicJobsOnline 32259</t>
  </si>
  <si>
    <t>George Washington University – School of Business</t>
  </si>
  <si>
    <t>University portal (posting 127887) – letters emailed to finance.dept@gwu.edu</t>
  </si>
  <si>
    <t>Banco de España, Research</t>
  </si>
  <si>
    <t>Research Economist (2026–27 PhD job market)</t>
  </si>
  <si>
    <t>At least 3</t>
  </si>
  <si>
    <t>EconJobMarket (ad 12796)</t>
  </si>
  <si>
    <t>econjobmarket.org/positions/12796 – midnight UTC</t>
  </si>
  <si>
    <t>Copenhagen Business School, Finance</t>
  </si>
  <si>
    <t>CBS HR portal</t>
  </si>
  <si>
    <t>Full consideration 9 Nov; final 16 Nov 23:59 UTC</t>
  </si>
  <si>
    <t>University of British Columbia, VSE</t>
  </si>
  <si>
    <t>Assistant Professor (macro / international macro)</t>
  </si>
  <si>
    <t>Vancouver, CA</t>
  </si>
  <si>
    <t>At least 3 – submitted directly by referees via EJM</t>
  </si>
  <si>
    <t>EconJobMarket (ad 12839)</t>
  </si>
  <si>
    <t>econjobmarket.org/positions/12839</t>
  </si>
  <si>
    <t>University of Rochester</t>
  </si>
  <si>
    <t>Rochester, US</t>
  </si>
  <si>
    <t>Interfolio 192002</t>
  </si>
  <si>
    <t>Washington University in St. Louis</t>
  </si>
  <si>
    <t>Assistant/Associate/Full Professor (macro emphasised)</t>
  </si>
  <si>
    <t>St. Louis, US</t>
  </si>
  <si>
    <t>EconJobMarket (ad 12678)</t>
  </si>
  <si>
    <t>Rolling review</t>
  </si>
  <si>
    <t>WU Vienna</t>
  </si>
  <si>
    <t>Assistant Professor of Finance – CONDITIONAL</t>
  </si>
  <si>
    <t>Vienna, AT</t>
  </si>
  <si>
    <t>WU portal</t>
  </si>
  <si>
    <t>Stockholm School of Economics</t>
  </si>
  <si>
    <t>Two tenure-track positions in Economics</t>
  </si>
  <si>
    <t>EconJobMarket (ad 12714)</t>
  </si>
  <si>
    <t>Université libre de Bruxelles (Solvay / DULBEA)</t>
  </si>
  <si>
    <t>Policy-relevant applied micro (labour, public finance) – Asst/Assoc</t>
  </si>
  <si>
    <t>Brussels, BE</t>
  </si>
  <si>
    <t>EconJobMarket (ad 12624)</t>
  </si>
  <si>
    <t>Five referee contacts</t>
  </si>
  <si>
    <t>Columbia Business School, Finance</t>
  </si>
  <si>
    <t>Assistant/Associate Professor – Finance</t>
  </si>
  <si>
    <t>Interfolio 194179</t>
  </si>
  <si>
    <t>Amsterdam Business School</t>
  </si>
  <si>
    <t>Assistant Professor</t>
  </si>
  <si>
    <t>Amsterdam, NL</t>
  </si>
  <si>
    <t>Columbia Business School – Economics Division</t>
  </si>
  <si>
    <t>Assistant/Associate Professor (macro among areas)</t>
  </si>
  <si>
    <t>Interfolio 194182</t>
  </si>
  <si>
    <t>Hoover Institution</t>
  </si>
  <si>
    <t>Hoover Fellow (1–3 years, early career, policy)</t>
  </si>
  <si>
    <t>Hoover portal</t>
  </si>
  <si>
    <t>UQAM, Département des sciences économiques</t>
  </si>
  <si>
    <t>Professor, International Economics</t>
  </si>
  <si>
    <t>EconJobMarket (ad 12695)</t>
  </si>
  <si>
    <t>Assistant Professor in Finance (TT)</t>
  </si>
  <si>
    <t>EconJobMarket (ad 12833)</t>
  </si>
  <si>
    <t>Federal Reserve Bank of San Francisco</t>
  </si>
  <si>
    <t>San Francisco, US</t>
  </si>
  <si>
    <t>EconJobMarket (ad 12609)</t>
  </si>
  <si>
    <t>UC Berkeley Haas</t>
  </si>
  <si>
    <t>Assistant Professor, Finance</t>
  </si>
  <si>
    <t>Berkeley, US</t>
  </si>
  <si>
    <t>EconJobMarket (ad 12556)</t>
  </si>
  <si>
    <t>ifo Institute – Center for International Economics</t>
  </si>
  <si>
    <t>Postdoctoral Researcher (international trade)</t>
  </si>
  <si>
    <t>Munich, DE</t>
  </si>
  <si>
    <t>EconJobMarket (ad 12844)</t>
  </si>
  <si>
    <t>Assistant Professor, Economic Analysis &amp; Policy</t>
  </si>
  <si>
    <t>EconJobMarket (ad 12616)</t>
  </si>
  <si>
    <t>NYU Stern, Finance</t>
  </si>
  <si>
    <t>Interfolio 194815</t>
  </si>
  <si>
    <t>Full consideration 13 Nov; final 20 Nov</t>
  </si>
  <si>
    <t>HEC Montréal, Finance</t>
  </si>
  <si>
    <t>Tenure-track, open rank</t>
  </si>
  <si>
    <t>Up to 3</t>
  </si>
  <si>
    <t>Qualtrics form</t>
  </si>
  <si>
    <t>hecmontreal.eu.qualtrics.com/jfe/form/SV_bvHfE0IBLXmB0H4</t>
  </si>
  <si>
    <t>ESSEC Business School, Finance</t>
  </si>
  <si>
    <t>Assistant Professor of Finance (asset pricing or real-estate finance)</t>
  </si>
  <si>
    <t>Cergy, FR</t>
  </si>
  <si>
    <t>EconJobMarket (ad 12777)</t>
  </si>
  <si>
    <t>Wharton, Finance</t>
  </si>
  <si>
    <t>Philadelphia, US</t>
  </si>
  <si>
    <t>3 (+ optional 4th)</t>
  </si>
  <si>
    <t>AcademicJobsOnline 32965</t>
  </si>
  <si>
    <t>Full consideration 20 Nov</t>
  </si>
  <si>
    <t>Bank of Canada</t>
  </si>
  <si>
    <t>PhD Researcher (2026–27 PhD job market)</t>
  </si>
  <si>
    <t>Ottawa, CA</t>
  </si>
  <si>
    <t>Recommended by 20 Nov (virtual interviews from 1 Dec); final 30 Apr 2027</t>
  </si>
  <si>
    <t>Nova SBE</t>
  </si>
  <si>
    <t>Finance Professor (tenure track)</t>
  </si>
  <si>
    <t>Carcavelos, PT</t>
  </si>
  <si>
    <t>EconJobMarket (ad 12829)</t>
  </si>
  <si>
    <t>University College Dublin</t>
  </si>
  <si>
    <t>Lecturer / Assistant Professor in Economics (5-year, any field)</t>
  </si>
  <si>
    <t>Dublin, IE</t>
  </si>
  <si>
    <t>UCD portal (ref 020071) / EconJobMarket (ad 12694)</t>
  </si>
  <si>
    <t>12:00 noon Irish time</t>
  </si>
  <si>
    <t>Assistant Professor (W1→W2) in Finance</t>
  </si>
  <si>
    <t>EconJobMarket (ad 12594)</t>
  </si>
  <si>
    <t>Full-consideration date</t>
  </si>
  <si>
    <t>Texas A&amp;M – Mays Business School</t>
  </si>
  <si>
    <t>TT Assistant Professor of Finance (incl. macro-finance, banking)</t>
  </si>
  <si>
    <t>Interfolio 188161</t>
  </si>
  <si>
    <t>Indiana University – Kelley</t>
  </si>
  <si>
    <t>Bloomington, US</t>
  </si>
  <si>
    <t>University portal (posting 33953)</t>
  </si>
  <si>
    <t>Brown University</t>
  </si>
  <si>
    <t>Assistant Professor of Economics (any field)</t>
  </si>
  <si>
    <t>Providence, US</t>
  </si>
  <si>
    <t>EconJobMarket (ad 12612)</t>
  </si>
  <si>
    <t>Full consideration 21 Nov</t>
  </si>
  <si>
    <t>University of Helsinki</t>
  </si>
  <si>
    <t>Assistant Professor of Economics (Macroeconomics)</t>
  </si>
  <si>
    <t>Helsinki, FI</t>
  </si>
  <si>
    <t>EconJobMarket (ad 12831)</t>
  </si>
  <si>
    <t>Warwick Business School, Finance</t>
  </si>
  <si>
    <t>Coventry, UK</t>
  </si>
  <si>
    <t>EconJobMarket (ad 12720)</t>
  </si>
  <si>
    <t>University page says 22 Nov; EJM 29 Nov – use 22 Nov</t>
  </si>
  <si>
    <t>CERGE-EI</t>
  </si>
  <si>
    <t>Assistant Professor positions in Economics</t>
  </si>
  <si>
    <t>Prague, CZ</t>
  </si>
  <si>
    <t>EconJobMarket (ad 12832)</t>
  </si>
  <si>
    <t>Corvinus University of Budapest</t>
  </si>
  <si>
    <t>Assistant Professor in Economics (macro/monetary among fields)</t>
  </si>
  <si>
    <t>Budapest, HU</t>
  </si>
  <si>
    <t>EconJobMarket (ad 12814)</t>
  </si>
  <si>
    <t>Interviews at the EEA job market 14–17 Dec</t>
  </si>
  <si>
    <t>Cornell University – SC Johnson</t>
  </si>
  <si>
    <t>Assistant/Associate Professor, Finance</t>
  </si>
  <si>
    <t>AcademicJobsOnline 32569</t>
  </si>
  <si>
    <t>LMU Munich</t>
  </si>
  <si>
    <t>Assistant Professorships (any field)</t>
  </si>
  <si>
    <t>EconJobMarket (ad 12851)</t>
  </si>
  <si>
    <t>University of Alberta</t>
  </si>
  <si>
    <t>Tenure-track Assistant Professor, Macroeconomics</t>
  </si>
  <si>
    <t>Edmonton, CA</t>
  </si>
  <si>
    <t>EconJobMarket (ad 12794)</t>
  </si>
  <si>
    <t>SAFE – Leibniz Institute for Financial Research</t>
  </si>
  <si>
    <t>Postdoctoral Researcher in Finance (intermediation, macro-finance)</t>
  </si>
  <si>
    <t>Frankfurt, DE</t>
  </si>
  <si>
    <t>Research institute · Finance</t>
  </si>
  <si>
    <t>EconJobMarket (ad 12634)</t>
  </si>
  <si>
    <t>King's College London, King's Business School</t>
  </si>
  <si>
    <t>Assistant Professor in Economics – Macroeconomics</t>
  </si>
  <si>
    <t>EconJobMarket (ad 12783)</t>
  </si>
  <si>
    <t>CSEF – University of Naples Federico II</t>
  </si>
  <si>
    <t>Research Fellowship (macro public finance strand)</t>
  </si>
  <si>
    <t>Naples, IT</t>
  </si>
  <si>
    <t>EconJobMarket (ad 12764)</t>
  </si>
  <si>
    <t>University of Oxford – Department of Economics</t>
  </si>
  <si>
    <t>Postdoctoral Research Fellow (ERC GENTALENT; labour, gender and work)</t>
  </si>
  <si>
    <t>EconJobMarket (ad 12846)</t>
  </si>
  <si>
    <t>Midnight UTC</t>
  </si>
  <si>
    <t>IWH Halle / Otto von Guericke University</t>
  </si>
  <si>
    <t>Assistant Professor (W1) in Financial Economics (2 posts)</t>
  </si>
  <si>
    <t>Halle / Magdeburg, DE</t>
  </si>
  <si>
    <t>EconJobMarket (ad 12586)</t>
  </si>
  <si>
    <t>University of Cyprus</t>
  </si>
  <si>
    <t>Tenure-track Lecturer / Assistant Professor (two posts, any field)</t>
  </si>
  <si>
    <t>Nicosia, CY</t>
  </si>
  <si>
    <t>University portal (applications.ucy.ac.cy) – the university contacts referees</t>
  </si>
  <si>
    <t>Applications 23:59 Cyprus time, 23 Nov; letters accepted up to 7 days later</t>
  </si>
  <si>
    <t>University of Padova (Marco Fanno)</t>
  </si>
  <si>
    <t>Postdoctoral Researcher (macro, public finance, finance)</t>
  </si>
  <si>
    <t>Padova, IT</t>
  </si>
  <si>
    <t>EconJobMarket (ad 12812)</t>
  </si>
  <si>
    <t>Interviews via the EEA job-market platform</t>
  </si>
  <si>
    <t>Economics Professor (tenure track; macro and labour among fields)</t>
  </si>
  <si>
    <t>EconJobMarket (ad 12737)</t>
  </si>
  <si>
    <t>Online interviews mid-December</t>
  </si>
  <si>
    <t>University of Toronto – Munk School</t>
  </si>
  <si>
    <t>Assistant Professor, Global Economics – CONDITIONAL</t>
  </si>
  <si>
    <t>Toronto, CA</t>
  </si>
  <si>
    <t>3 contacts + letters (number not stated)</t>
  </si>
  <si>
    <t>U of T careers portal</t>
  </si>
  <si>
    <t>Letters must be received by 30 Nov</t>
  </si>
  <si>
    <t>Princeton University</t>
  </si>
  <si>
    <t>Postdoctoral Research Associate – Macroeconomics</t>
  </si>
  <si>
    <t>HEC Montréal, Applied Economics</t>
  </si>
  <si>
    <t>Federal Reserve Bank of Kansas City</t>
  </si>
  <si>
    <t>Economist</t>
  </si>
  <si>
    <t>Kansas City, US</t>
  </si>
  <si>
    <t>ESG UQAM, Finance</t>
  </si>
  <si>
    <t>Professor of Finance (2 posts)</t>
  </si>
  <si>
    <t>At least 2 – emailed</t>
  </si>
  <si>
    <t>Email</t>
  </si>
  <si>
    <t>roch.alexandre_f@uqam.ca</t>
  </si>
  <si>
    <t>UCLA, Department of Economics</t>
  </si>
  <si>
    <t>Los Angeles, US</t>
  </si>
  <si>
    <t>UC Recruit JPF11328</t>
  </si>
  <si>
    <t>UNC Chapel Hill</t>
  </si>
  <si>
    <t>Assistant/Associate Professor (any field)</t>
  </si>
  <si>
    <t>Chapel Hill, US</t>
  </si>
  <si>
    <t>University portal (posting 326025)</t>
  </si>
  <si>
    <t>University of Hawaii at Mānoa</t>
  </si>
  <si>
    <t>Assistant Professor (geoeconomics: trade, industrial policy)</t>
  </si>
  <si>
    <t>Honolulu, US</t>
  </si>
  <si>
    <t>Review begins 1 Dec</t>
  </si>
  <si>
    <t>Postdoctoral Research Associate, Public Economics</t>
  </si>
  <si>
    <t>Interfolio 192304</t>
  </si>
  <si>
    <t>International Monetary Fund</t>
  </si>
  <si>
    <t>Economist Program 2027 (req 26-R9861)</t>
  </si>
  <si>
    <t>3 ACADEMIC references – requested after the preliminary interview</t>
  </si>
  <si>
    <t>IMF Workday – references requested by the IMF after a first interview</t>
  </si>
  <si>
    <t>Mirrors give 4 or 5 Dec; working to 4 Dec</t>
  </si>
  <si>
    <t>Federal Reserve Bank of St. Louis</t>
  </si>
  <si>
    <t>EconJobMarket (ad 12685)</t>
  </si>
  <si>
    <t>Rolling review — apply early</t>
  </si>
  <si>
    <t>NBER</t>
  </si>
  <si>
    <t>Post-doctoral Fellowship in Long-Term Fiscal Policy (2027–28)</t>
  </si>
  <si>
    <t>NBER online form</t>
  </si>
  <si>
    <t>5pm EST</t>
  </si>
  <si>
    <t>IESE Business School</t>
  </si>
  <si>
    <t>Two Assistant Professor positions in Economics</t>
  </si>
  <si>
    <t>Barcelona, ES</t>
  </si>
  <si>
    <t>EconJobMarket (ad 12731)</t>
  </si>
  <si>
    <t>Post-doctoral Fellowship, Wealth &amp; Income Inequality</t>
  </si>
  <si>
    <t>University of Bristol</t>
  </si>
  <si>
    <t>Lecturer in Economics (Assistant Professor)</t>
  </si>
  <si>
    <t>Bristol, UK</t>
  </si>
  <si>
    <t>EconJobMarket (ad 12856)</t>
  </si>
  <si>
    <t>Target date 22 Nov</t>
  </si>
  <si>
    <t>Aarhus University</t>
  </si>
  <si>
    <t>Postdoc: Automation and the Labour Market in the Global Economy</t>
  </si>
  <si>
    <t>Aarhus, DK</t>
  </si>
  <si>
    <t>EconJobMarket (ad 12730)</t>
  </si>
  <si>
    <t>Interviews at EEA job market mid-Dec</t>
  </si>
  <si>
    <t>Cambridge – Janeway Institute</t>
  </si>
  <si>
    <t>Postdoctoral Research Fellowship</t>
  </si>
  <si>
    <t>AEA JOE / Cambridge portal</t>
  </si>
  <si>
    <t>Yale School of Management, Finance</t>
  </si>
  <si>
    <t>University of St Andrews</t>
  </si>
  <si>
    <t>Postdoc in Climate- and Macroeconometrics (Leverhulme, 5 yrs)</t>
  </si>
  <si>
    <t>St Andrews, UK</t>
  </si>
  <si>
    <t>EconJobMarket (ad 12859) / jobs.ac.uk</t>
  </si>
  <si>
    <t>University of Kansas</t>
  </si>
  <si>
    <t>Assistant Professor of Finance (incl. international finance)</t>
  </si>
  <si>
    <t>Lawrence, US</t>
  </si>
  <si>
    <t>University portal (33490BR)</t>
  </si>
  <si>
    <t>Assistant Professor of Finance (all areas)</t>
  </si>
  <si>
    <t>Interfolio 188849</t>
  </si>
  <si>
    <t>Stanford – SIEPR</t>
  </si>
  <si>
    <t>Postdoctoral Fellow (Young Scholars Program)</t>
  </si>
  <si>
    <t>Full consideration 4 Jan 2027</t>
  </si>
  <si>
    <t>Federal Reserve Bank of Chicago</t>
  </si>
  <si>
    <t>Economist (Macroeconomics; Financial Economics — two ads)</t>
  </si>
  <si>
    <t>AEA JOE (477700 / 477701)</t>
  </si>
  <si>
    <t>European University Institute</t>
  </si>
  <si>
    <t>Max Weber Postdoctoral Fellowship (Economics round)</t>
  </si>
  <si>
    <t>Florence, IT</t>
  </si>
  <si>
    <t>2 to 3</t>
  </si>
  <si>
    <t>EUI portal; letters may be emailed</t>
  </si>
  <si>
    <t>Reference.Fellow@eui.eu (Interfolio accepted) – 14:00 CET</t>
  </si>
  <si>
    <t>Chicago Booth</t>
  </si>
  <si>
    <t>Assistant/Associate Professor of Economics (Macroeconomics)</t>
  </si>
  <si>
    <t>Names of at least 2 scholars</t>
  </si>
  <si>
    <t>Interfolio 191225</t>
  </si>
  <si>
    <t>Review from 12 Nov; open to 31 Mar 2027</t>
  </si>
  <si>
    <t>Assistant/Associate Professor of Finance</t>
  </si>
  <si>
    <t>Names of at least 2 referees</t>
  </si>
  <si>
    <t>Interfolio 191156</t>
  </si>
  <si>
    <t>Review from 10 Nov; open to 31 Mar 2027</t>
  </si>
  <si>
    <t>University of Chicago, Department of Economics</t>
  </si>
  <si>
    <t>Interfolio 193682</t>
  </si>
  <si>
    <t>Review began 19 Oct — apply early</t>
  </si>
  <si>
    <t>Letters per referee — live counts from the Applications sheet</t>
  </si>
  <si>
    <t>Counts update automatically when referee assignments or statuses change on the first sheet. A platform letter (EJM, JOE, Interfolio, AJO) is written once and reused, so the real workload is the number of distinct platforms plus the direct-email items.</t>
  </si>
  <si>
    <t>Referee</t>
  </si>
  <si>
    <t>Applications naming this referee</t>
  </si>
  <si>
    <t>Earliest letters due</t>
  </si>
  <si>
    <t>Due by 31 Oct</t>
  </si>
  <si>
    <t>Due 1–8 Nov</t>
  </si>
  <si>
    <t>Due 9–16 Nov</t>
  </si>
  <si>
    <t>Due 17–30 Nov</t>
  </si>
  <si>
    <t>Due Dec 2026</t>
  </si>
  <si>
    <t>Due 2027</t>
  </si>
  <si>
    <t>Via EJM / JOE (one upload)</t>
  </si>
  <si>
    <t>Via Interfolio / AJO</t>
  </si>
  <si>
    <t>Other (own portal, direct email, names only)</t>
  </si>
  <si>
    <t>Needs the referee to act separately</t>
  </si>
  <si>
    <t>This version: 19 October 2026.</t>
  </si>
  <si>
    <t>Cristian Arcidiacono — 2026–27 job market</t>
  </si>
  <si>
    <t>Letter status - for Cristian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</si>
</sst>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\ d\ mmm\ yyyy"/>
  </numFmts>
  <fonts count="10" x14ac:knownFonts="1">
    <font>
      <sz val="11"/>
      <color theme="1"/>
      <name val="Calibri"/>
      <family val="2"/>
      <charset val="1"/>
    </font>
    <font>
      <b/>
      <sz val="14"/>
      <name val="Arial"/>
      <family val="2"/>
    </font>
    <font>
      <i/>
      <sz val="9"/>
      <name val="Arial"/>
      <family val="2"/>
    </font>
    <font>
      <b/>
      <sz val="10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rgb="FF0000FF"/>
      <name val="Arial"/>
      <family val="2"/>
    </font>
    <font>
      <sz val="10"/>
      <color rgb="FF808080"/>
      <name val="Arial"/>
      <family val="2"/>
    </font>
    <font>
      <b/>
      <sz val="13"/>
      <name val="Arial"/>
      <family val="2"/>
    </font>
    <font>
      <sz val="11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rgb="FF33333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3" fillId="2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vertical="top" wrapText="1"/>
    </xf>
    <xf numFmtId="164" fontId="5" fillId="0" borderId="1" xfId="0" applyNumberFormat="1" applyFont="1" applyBorder="1" applyAlignment="1">
      <alignment horizontal="center" vertical="top" wrapText="1"/>
    </xf>
    <xf numFmtId="1" fontId="5" fillId="0" borderId="1" xfId="0" applyNumberFormat="1" applyFont="1" applyBorder="1" applyAlignment="1">
      <alignment horizontal="center" vertical="top" wrapText="1"/>
    </xf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0" xfId="0" applyFont="1"/>
    <xf numFmtId="0" fontId="4" fillId="0" borderId="1" xfId="0" applyFont="1" applyBorder="1"/>
    <xf numFmtId="0" fontId="5" fillId="0" borderId="1" xfId="0" applyFont="1" applyBorder="1" applyAlignment="1">
      <alignment horizontal="center" vertical="top" wrapText="1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4" fillId="4" borderId="1" xfId="0" applyFont="1" applyFill="1" applyBorder="1" applyAlignment="1">
      <alignment horizontal="center" vertical="top" wrapText="1"/>
    </xf>
    <xf numFmtId="0" fontId="9" fillId="3" borderId="0" xfId="0" applyFont="1" applyFill="1"/>
    <xf numFmtId="0" fontId="5" fillId="3" borderId="1" xfId="0" applyFont="1" applyFill="1" applyBorder="1" applyAlignment="1">
      <alignment vertical="top" wrapText="1"/>
    </xf>
  </cellXfs>
  <cellStyles count="1">
    <cellStyle name="Normal" xfId="0" builtinId="0"/>
  </cellStyles>
  <dxfs count="2">
    <dxf>
      <font>
        <strike/>
        <color rgb="FF808080"/>
        <name val="Arial"/>
        <charset val="1"/>
      </font>
    </dxf>
    <dxf>
      <font>
        <b/>
        <color rgb="FF9C0006"/>
        <name val="Arial"/>
        <charset val="1"/>
      </font>
      <fill>
        <patternFill>
          <bgColor rgb="FFF8CBAD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DEDE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CE4D6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45"/>
  <sheetViews>
    <sheetView tabSelected="1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A2" sqref="A2:Q2"/>
    </sheetView>
  </sheetViews>
  <sheetFormatPr baseColWidth="10" defaultColWidth="8.6640625" defaultRowHeight="15" x14ac:dyDescent="0.2"/>
  <cols>
    <col min="1" max="1" width="26.5" customWidth="1"/>
    <col min="2" max="2" width="30" customWidth="1"/>
    <col min="3" max="3" width="38" customWidth="1"/>
    <col min="4" max="4" width="16" customWidth="1"/>
    <col min="5" max="5" width="17.6640625" customWidth="1"/>
    <col min="6" max="6" width="16.83203125" customWidth="1"/>
    <col min="7" max="7" width="14" customWidth="1"/>
    <col min="8" max="8" width="10" customWidth="1"/>
    <col min="9" max="9" width="24" customWidth="1"/>
    <col min="10" max="10" width="30" customWidth="1"/>
    <col min="11" max="11" width="11" customWidth="1"/>
    <col min="12" max="12" width="12" customWidth="1"/>
    <col min="13" max="15" width="11" customWidth="1"/>
    <col min="16" max="16" width="28.6640625" style="14" customWidth="1"/>
    <col min="17" max="17" width="2.5" hidden="1" customWidth="1"/>
  </cols>
  <sheetData>
    <row r="1" spans="1:17" ht="18" x14ac:dyDescent="0.2">
      <c r="A1" s="1" t="s">
        <v>610</v>
      </c>
    </row>
    <row r="2" spans="1:17" ht="30" customHeight="1" x14ac:dyDescent="0.2">
      <c r="A2" s="11" t="s">
        <v>609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</row>
    <row r="4" spans="1:17" ht="31.5" customHeight="1" x14ac:dyDescent="0.2">
      <c r="A4" s="2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2" t="s">
        <v>10</v>
      </c>
      <c r="L4" s="2" t="s">
        <v>11</v>
      </c>
      <c r="M4" s="2" t="s">
        <v>12</v>
      </c>
      <c r="N4" s="2" t="s">
        <v>13</v>
      </c>
      <c r="O4" s="2" t="s">
        <v>14</v>
      </c>
      <c r="P4" s="13" t="s">
        <v>611</v>
      </c>
    </row>
    <row r="5" spans="1:17" ht="48" customHeight="1" x14ac:dyDescent="0.2">
      <c r="A5" s="3" t="s">
        <v>15</v>
      </c>
      <c r="B5" s="3" t="s">
        <v>16</v>
      </c>
      <c r="C5" s="3" t="s">
        <v>17</v>
      </c>
      <c r="D5" s="3" t="s">
        <v>18</v>
      </c>
      <c r="E5" s="4">
        <v>46318</v>
      </c>
      <c r="F5" s="4">
        <v>46325</v>
      </c>
      <c r="G5" s="5">
        <f t="shared" ref="G5:G33" ca="1" si="0">IF(F5&lt;&gt;"",F5-TODAY(),IF(E5&lt;&gt;"",E5-TODAY(),""))</f>
        <v>11</v>
      </c>
      <c r="H5" s="3" t="s">
        <v>19</v>
      </c>
      <c r="I5" s="3" t="s">
        <v>20</v>
      </c>
      <c r="J5" s="3" t="s">
        <v>21</v>
      </c>
      <c r="K5" s="6" t="s">
        <v>23</v>
      </c>
      <c r="L5" s="6" t="s">
        <v>22</v>
      </c>
      <c r="M5" s="6"/>
      <c r="N5" s="6"/>
      <c r="O5" s="7" t="str">
        <f>_xlfn.TEXTJOIN(", ",TRUE(),K5:N5)</f>
        <v>Benigno, Reis</v>
      </c>
      <c r="P5" s="15" t="s">
        <v>24</v>
      </c>
    </row>
    <row r="6" spans="1:17" ht="48" customHeight="1" x14ac:dyDescent="0.2">
      <c r="A6" s="3" t="s">
        <v>28</v>
      </c>
      <c r="B6" s="3" t="s">
        <v>29</v>
      </c>
      <c r="C6" s="3" t="s">
        <v>30</v>
      </c>
      <c r="D6" s="3" t="s">
        <v>31</v>
      </c>
      <c r="E6" s="4">
        <v>46326</v>
      </c>
      <c r="F6" s="4">
        <v>46326</v>
      </c>
      <c r="G6" s="5">
        <f t="shared" ca="1" si="0"/>
        <v>12</v>
      </c>
      <c r="H6" s="3">
        <v>2</v>
      </c>
      <c r="I6" s="3" t="s">
        <v>32</v>
      </c>
      <c r="J6" s="3" t="s">
        <v>33</v>
      </c>
      <c r="K6" s="6" t="s">
        <v>23</v>
      </c>
      <c r="L6" s="6" t="s">
        <v>22</v>
      </c>
      <c r="M6" s="6"/>
      <c r="N6" s="6"/>
      <c r="O6" s="7" t="str">
        <f t="shared" ref="O6:O68" si="1">_xlfn.TEXTJOIN(", ",TRUE(),K6:N6)</f>
        <v>Benigno, Reis</v>
      </c>
      <c r="P6" s="15" t="s">
        <v>34</v>
      </c>
    </row>
    <row r="7" spans="1:17" ht="48" customHeight="1" x14ac:dyDescent="0.2">
      <c r="A7" s="3" t="s">
        <v>35</v>
      </c>
      <c r="B7" s="3" t="s">
        <v>36</v>
      </c>
      <c r="C7" s="3" t="s">
        <v>37</v>
      </c>
      <c r="D7" s="3" t="s">
        <v>38</v>
      </c>
      <c r="E7" s="4">
        <v>46327</v>
      </c>
      <c r="F7" s="4">
        <v>46327</v>
      </c>
      <c r="G7" s="5">
        <f t="shared" ca="1" si="0"/>
        <v>13</v>
      </c>
      <c r="H7" s="3">
        <v>3</v>
      </c>
      <c r="I7" s="3" t="s">
        <v>39</v>
      </c>
      <c r="J7" s="3" t="s">
        <v>40</v>
      </c>
      <c r="K7" s="6" t="s">
        <v>23</v>
      </c>
      <c r="L7" s="6" t="s">
        <v>22</v>
      </c>
      <c r="M7" s="6" t="s">
        <v>26</v>
      </c>
      <c r="N7" s="6"/>
      <c r="O7" s="7" t="str">
        <f t="shared" si="1"/>
        <v>Benigno, Reis, Hofmann</v>
      </c>
      <c r="P7" s="15" t="s">
        <v>27</v>
      </c>
    </row>
    <row r="8" spans="1:17" ht="48" customHeight="1" x14ac:dyDescent="0.2">
      <c r="A8" s="3" t="s">
        <v>41</v>
      </c>
      <c r="B8" s="3" t="s">
        <v>42</v>
      </c>
      <c r="C8" s="3" t="s">
        <v>43</v>
      </c>
      <c r="D8" s="3" t="s">
        <v>44</v>
      </c>
      <c r="E8" s="4">
        <v>46327</v>
      </c>
      <c r="F8" s="4">
        <v>46327</v>
      </c>
      <c r="G8" s="5">
        <f t="shared" ca="1" si="0"/>
        <v>13</v>
      </c>
      <c r="H8" s="3">
        <v>3</v>
      </c>
      <c r="I8" s="3" t="s">
        <v>45</v>
      </c>
      <c r="J8" s="3" t="s">
        <v>46</v>
      </c>
      <c r="K8" s="6" t="s">
        <v>23</v>
      </c>
      <c r="L8" s="6" t="s">
        <v>22</v>
      </c>
      <c r="M8" s="6" t="s">
        <v>47</v>
      </c>
      <c r="N8" s="6"/>
      <c r="O8" s="7" t="str">
        <f t="shared" si="1"/>
        <v>Benigno, Reis, Chaudhary</v>
      </c>
      <c r="P8" s="15" t="s">
        <v>34</v>
      </c>
    </row>
    <row r="9" spans="1:17" ht="48" customHeight="1" x14ac:dyDescent="0.2">
      <c r="A9" s="3" t="s">
        <v>48</v>
      </c>
      <c r="B9" s="3" t="s">
        <v>49</v>
      </c>
      <c r="C9" s="3" t="s">
        <v>50</v>
      </c>
      <c r="D9" s="3" t="s">
        <v>31</v>
      </c>
      <c r="E9" s="4">
        <v>46327</v>
      </c>
      <c r="F9" s="4">
        <v>46327</v>
      </c>
      <c r="G9" s="5">
        <f t="shared" ca="1" si="0"/>
        <v>13</v>
      </c>
      <c r="H9" s="3" t="s">
        <v>51</v>
      </c>
      <c r="I9" s="3" t="s">
        <v>52</v>
      </c>
      <c r="J9" s="3" t="s">
        <v>53</v>
      </c>
      <c r="K9" s="6" t="s">
        <v>23</v>
      </c>
      <c r="L9" s="6" t="s">
        <v>22</v>
      </c>
      <c r="M9" s="6" t="s">
        <v>26</v>
      </c>
      <c r="N9" s="6"/>
      <c r="O9" s="7" t="str">
        <f t="shared" si="1"/>
        <v>Benigno, Reis, Hofmann</v>
      </c>
      <c r="P9" s="15" t="s">
        <v>27</v>
      </c>
    </row>
    <row r="10" spans="1:17" ht="48" customHeight="1" x14ac:dyDescent="0.2">
      <c r="A10" s="3" t="s">
        <v>54</v>
      </c>
      <c r="B10" s="3" t="s">
        <v>55</v>
      </c>
      <c r="C10" s="3" t="s">
        <v>56</v>
      </c>
      <c r="D10" s="3" t="s">
        <v>44</v>
      </c>
      <c r="E10" s="4">
        <v>46327</v>
      </c>
      <c r="F10" s="4"/>
      <c r="G10" s="5">
        <f t="shared" ca="1" si="0"/>
        <v>13</v>
      </c>
      <c r="H10" s="3" t="s">
        <v>57</v>
      </c>
      <c r="I10" s="3" t="s">
        <v>58</v>
      </c>
      <c r="J10" s="3" t="s">
        <v>59</v>
      </c>
      <c r="K10" s="6" t="s">
        <v>23</v>
      </c>
      <c r="L10" s="6" t="s">
        <v>22</v>
      </c>
      <c r="M10" s="6" t="s">
        <v>47</v>
      </c>
      <c r="N10" s="6"/>
      <c r="O10" s="7" t="str">
        <f t="shared" si="1"/>
        <v>Benigno, Reis, Chaudhary</v>
      </c>
      <c r="P10" s="15" t="s">
        <v>24</v>
      </c>
    </row>
    <row r="11" spans="1:17" ht="48" customHeight="1" x14ac:dyDescent="0.2">
      <c r="A11" s="3" t="s">
        <v>60</v>
      </c>
      <c r="B11" s="3" t="s">
        <v>61</v>
      </c>
      <c r="C11" s="3" t="s">
        <v>62</v>
      </c>
      <c r="D11" s="3" t="s">
        <v>31</v>
      </c>
      <c r="E11" s="4">
        <v>46327</v>
      </c>
      <c r="F11" s="4">
        <v>46327</v>
      </c>
      <c r="G11" s="5">
        <f t="shared" ca="1" si="0"/>
        <v>13</v>
      </c>
      <c r="H11" s="3">
        <v>3</v>
      </c>
      <c r="I11" s="3" t="s">
        <v>63</v>
      </c>
      <c r="J11" s="3" t="s">
        <v>64</v>
      </c>
      <c r="K11" s="6" t="s">
        <v>23</v>
      </c>
      <c r="L11" s="6" t="s">
        <v>22</v>
      </c>
      <c r="M11" s="6" t="s">
        <v>26</v>
      </c>
      <c r="N11" s="6"/>
      <c r="O11" s="7" t="str">
        <f t="shared" si="1"/>
        <v>Benigno, Reis, Hofmann</v>
      </c>
      <c r="P11" s="15" t="s">
        <v>27</v>
      </c>
    </row>
    <row r="12" spans="1:17" ht="48" customHeight="1" x14ac:dyDescent="0.2">
      <c r="A12" s="3" t="s">
        <v>65</v>
      </c>
      <c r="B12" s="3" t="s">
        <v>66</v>
      </c>
      <c r="C12" s="3" t="s">
        <v>67</v>
      </c>
      <c r="D12" s="3" t="s">
        <v>31</v>
      </c>
      <c r="E12" s="4">
        <v>46329</v>
      </c>
      <c r="F12" s="4">
        <v>46329</v>
      </c>
      <c r="G12" s="5">
        <f t="shared" ca="1" si="0"/>
        <v>15</v>
      </c>
      <c r="H12" s="3">
        <v>3</v>
      </c>
      <c r="I12" s="3" t="s">
        <v>68</v>
      </c>
      <c r="J12" s="3" t="s">
        <v>69</v>
      </c>
      <c r="K12" s="6" t="s">
        <v>23</v>
      </c>
      <c r="L12" s="6" t="s">
        <v>22</v>
      </c>
      <c r="M12" s="6" t="s">
        <v>26</v>
      </c>
      <c r="N12" s="6"/>
      <c r="O12" s="7" t="str">
        <f t="shared" si="1"/>
        <v>Benigno, Reis, Hofmann</v>
      </c>
      <c r="P12" s="15" t="s">
        <v>27</v>
      </c>
    </row>
    <row r="13" spans="1:17" ht="48" customHeight="1" x14ac:dyDescent="0.2">
      <c r="A13" s="3" t="s">
        <v>71</v>
      </c>
      <c r="B13" s="3" t="s">
        <v>72</v>
      </c>
      <c r="C13" s="3" t="s">
        <v>17</v>
      </c>
      <c r="D13" s="3" t="s">
        <v>44</v>
      </c>
      <c r="E13" s="4">
        <v>46332</v>
      </c>
      <c r="F13" s="4"/>
      <c r="G13" s="5">
        <f t="shared" ca="1" si="0"/>
        <v>18</v>
      </c>
      <c r="H13" s="3" t="s">
        <v>73</v>
      </c>
      <c r="I13" s="3" t="s">
        <v>74</v>
      </c>
      <c r="J13" s="3" t="s">
        <v>75</v>
      </c>
      <c r="K13" s="6" t="s">
        <v>23</v>
      </c>
      <c r="L13" s="6" t="s">
        <v>22</v>
      </c>
      <c r="M13" s="6" t="s">
        <v>47</v>
      </c>
      <c r="N13" s="6"/>
      <c r="O13" s="7" t="str">
        <f t="shared" si="1"/>
        <v>Benigno, Reis, Chaudhary</v>
      </c>
      <c r="P13" s="15" t="s">
        <v>76</v>
      </c>
    </row>
    <row r="14" spans="1:17" ht="48" customHeight="1" x14ac:dyDescent="0.2">
      <c r="A14" s="3" t="s">
        <v>77</v>
      </c>
      <c r="B14" s="3" t="s">
        <v>78</v>
      </c>
      <c r="C14" s="3" t="s">
        <v>79</v>
      </c>
      <c r="D14" s="3" t="s">
        <v>31</v>
      </c>
      <c r="E14" s="4">
        <v>46332</v>
      </c>
      <c r="F14" s="4">
        <v>46332</v>
      </c>
      <c r="G14" s="5">
        <f t="shared" ca="1" si="0"/>
        <v>18</v>
      </c>
      <c r="H14" s="3">
        <v>3</v>
      </c>
      <c r="I14" s="3" t="s">
        <v>80</v>
      </c>
      <c r="J14" s="3" t="s">
        <v>81</v>
      </c>
      <c r="K14" s="6" t="s">
        <v>23</v>
      </c>
      <c r="L14" s="6" t="s">
        <v>22</v>
      </c>
      <c r="M14" s="6" t="s">
        <v>26</v>
      </c>
      <c r="N14" s="6"/>
      <c r="O14" s="7" t="str">
        <f t="shared" si="1"/>
        <v>Benigno, Reis, Hofmann</v>
      </c>
      <c r="P14" s="15" t="s">
        <v>27</v>
      </c>
    </row>
    <row r="15" spans="1:17" ht="48" customHeight="1" x14ac:dyDescent="0.2">
      <c r="A15" s="3" t="s">
        <v>82</v>
      </c>
      <c r="B15" s="3" t="s">
        <v>78</v>
      </c>
      <c r="C15" s="3" t="s">
        <v>83</v>
      </c>
      <c r="D15" s="3" t="s">
        <v>31</v>
      </c>
      <c r="E15" s="4">
        <v>46332</v>
      </c>
      <c r="F15" s="4">
        <v>46332</v>
      </c>
      <c r="G15" s="5">
        <f t="shared" ca="1" si="0"/>
        <v>18</v>
      </c>
      <c r="H15" s="3">
        <v>3</v>
      </c>
      <c r="I15" s="3" t="s">
        <v>84</v>
      </c>
      <c r="J15" s="3"/>
      <c r="K15" s="6" t="s">
        <v>23</v>
      </c>
      <c r="L15" s="6" t="s">
        <v>22</v>
      </c>
      <c r="M15" s="6" t="s">
        <v>26</v>
      </c>
      <c r="N15" s="6"/>
      <c r="O15" s="7" t="str">
        <f t="shared" si="1"/>
        <v>Benigno, Reis, Hofmann</v>
      </c>
      <c r="P15" s="15" t="s">
        <v>27</v>
      </c>
    </row>
    <row r="16" spans="1:17" ht="48" customHeight="1" x14ac:dyDescent="0.2">
      <c r="A16" s="3" t="s">
        <v>85</v>
      </c>
      <c r="B16" s="3" t="s">
        <v>86</v>
      </c>
      <c r="C16" s="3" t="s">
        <v>87</v>
      </c>
      <c r="D16" s="3" t="s">
        <v>31</v>
      </c>
      <c r="E16" s="4">
        <v>46333</v>
      </c>
      <c r="F16" s="4">
        <v>46333</v>
      </c>
      <c r="G16" s="5">
        <f t="shared" ca="1" si="0"/>
        <v>19</v>
      </c>
      <c r="H16" s="3" t="s">
        <v>51</v>
      </c>
      <c r="I16" s="3" t="s">
        <v>88</v>
      </c>
      <c r="J16" s="3"/>
      <c r="K16" s="6" t="s">
        <v>23</v>
      </c>
      <c r="L16" s="6" t="s">
        <v>22</v>
      </c>
      <c r="M16" s="6" t="s">
        <v>26</v>
      </c>
      <c r="N16" s="6"/>
      <c r="O16" s="7" t="str">
        <f t="shared" si="1"/>
        <v>Benigno, Reis, Hofmann</v>
      </c>
      <c r="P16" s="15" t="s">
        <v>27</v>
      </c>
    </row>
    <row r="17" spans="1:16" ht="48" customHeight="1" x14ac:dyDescent="0.2">
      <c r="A17" s="3" t="s">
        <v>89</v>
      </c>
      <c r="B17" s="3" t="s">
        <v>78</v>
      </c>
      <c r="C17" s="3" t="s">
        <v>90</v>
      </c>
      <c r="D17" s="3" t="s">
        <v>31</v>
      </c>
      <c r="E17" s="4">
        <v>46333</v>
      </c>
      <c r="F17" s="4">
        <v>46333</v>
      </c>
      <c r="G17" s="5">
        <f t="shared" ca="1" si="0"/>
        <v>19</v>
      </c>
      <c r="H17" s="3">
        <v>3</v>
      </c>
      <c r="I17" s="3" t="s">
        <v>91</v>
      </c>
      <c r="J17" s="3" t="s">
        <v>92</v>
      </c>
      <c r="K17" s="6" t="s">
        <v>23</v>
      </c>
      <c r="L17" s="6" t="s">
        <v>22</v>
      </c>
      <c r="M17" s="6" t="s">
        <v>26</v>
      </c>
      <c r="N17" s="6"/>
      <c r="O17" s="7" t="str">
        <f t="shared" si="1"/>
        <v>Benigno, Reis, Hofmann</v>
      </c>
      <c r="P17" s="15" t="s">
        <v>27</v>
      </c>
    </row>
    <row r="18" spans="1:16" ht="48" customHeight="1" x14ac:dyDescent="0.2">
      <c r="A18" s="3" t="s">
        <v>93</v>
      </c>
      <c r="B18" s="3" t="s">
        <v>78</v>
      </c>
      <c r="C18" s="3" t="s">
        <v>94</v>
      </c>
      <c r="D18" s="3" t="s">
        <v>31</v>
      </c>
      <c r="E18" s="4">
        <v>46333</v>
      </c>
      <c r="F18" s="4">
        <v>46333</v>
      </c>
      <c r="G18" s="5">
        <f t="shared" ca="1" si="0"/>
        <v>19</v>
      </c>
      <c r="H18" s="3">
        <v>3</v>
      </c>
      <c r="I18" s="3" t="s">
        <v>95</v>
      </c>
      <c r="J18" s="3" t="s">
        <v>96</v>
      </c>
      <c r="K18" s="6" t="s">
        <v>23</v>
      </c>
      <c r="L18" s="6" t="s">
        <v>22</v>
      </c>
      <c r="M18" s="6" t="s">
        <v>26</v>
      </c>
      <c r="N18" s="6"/>
      <c r="O18" s="7" t="str">
        <f t="shared" si="1"/>
        <v>Benigno, Reis, Hofmann</v>
      </c>
      <c r="P18" s="15" t="s">
        <v>27</v>
      </c>
    </row>
    <row r="19" spans="1:16" ht="48" customHeight="1" x14ac:dyDescent="0.2">
      <c r="A19" s="3" t="s">
        <v>97</v>
      </c>
      <c r="B19" s="3" t="s">
        <v>98</v>
      </c>
      <c r="C19" s="3" t="s">
        <v>99</v>
      </c>
      <c r="D19" s="3" t="s">
        <v>38</v>
      </c>
      <c r="E19" s="4">
        <v>46327</v>
      </c>
      <c r="F19" s="4">
        <v>46334</v>
      </c>
      <c r="G19" s="5">
        <f t="shared" ca="1" si="0"/>
        <v>20</v>
      </c>
      <c r="H19" s="3">
        <v>3</v>
      </c>
      <c r="I19" s="3" t="s">
        <v>100</v>
      </c>
      <c r="J19" s="3" t="s">
        <v>101</v>
      </c>
      <c r="K19" s="6" t="s">
        <v>23</v>
      </c>
      <c r="L19" s="6" t="s">
        <v>22</v>
      </c>
      <c r="M19" s="6" t="s">
        <v>26</v>
      </c>
      <c r="N19" s="6"/>
      <c r="O19" s="7" t="str">
        <f t="shared" si="1"/>
        <v>Benigno, Reis, Hofmann</v>
      </c>
      <c r="P19" s="15" t="s">
        <v>34</v>
      </c>
    </row>
    <row r="20" spans="1:16" ht="48" customHeight="1" x14ac:dyDescent="0.2">
      <c r="A20" s="3" t="s">
        <v>102</v>
      </c>
      <c r="B20" s="3" t="s">
        <v>103</v>
      </c>
      <c r="C20" s="3" t="s">
        <v>70</v>
      </c>
      <c r="D20" s="3" t="s">
        <v>38</v>
      </c>
      <c r="E20" s="4">
        <v>46334</v>
      </c>
      <c r="F20" s="4">
        <v>46334</v>
      </c>
      <c r="G20" s="5">
        <f t="shared" ca="1" si="0"/>
        <v>20</v>
      </c>
      <c r="H20" s="3">
        <v>3</v>
      </c>
      <c r="I20" s="3" t="s">
        <v>104</v>
      </c>
      <c r="J20" s="3" t="s">
        <v>105</v>
      </c>
      <c r="K20" s="6" t="s">
        <v>23</v>
      </c>
      <c r="L20" s="6" t="s">
        <v>22</v>
      </c>
      <c r="M20" s="6" t="s">
        <v>26</v>
      </c>
      <c r="N20" s="6"/>
      <c r="O20" s="7" t="str">
        <f t="shared" si="1"/>
        <v>Benigno, Reis, Hofmann</v>
      </c>
      <c r="P20" s="15" t="s">
        <v>27</v>
      </c>
    </row>
    <row r="21" spans="1:16" ht="48" customHeight="1" x14ac:dyDescent="0.2">
      <c r="A21" s="3" t="s">
        <v>106</v>
      </c>
      <c r="B21" s="3" t="s">
        <v>107</v>
      </c>
      <c r="C21" s="3" t="s">
        <v>108</v>
      </c>
      <c r="D21" s="3" t="s">
        <v>31</v>
      </c>
      <c r="E21" s="4">
        <v>46334</v>
      </c>
      <c r="F21" s="4">
        <v>46334</v>
      </c>
      <c r="G21" s="5">
        <f t="shared" ca="1" si="0"/>
        <v>20</v>
      </c>
      <c r="H21" s="3">
        <v>3</v>
      </c>
      <c r="I21" s="3" t="s">
        <v>109</v>
      </c>
      <c r="J21" s="3" t="s">
        <v>110</v>
      </c>
      <c r="K21" s="6" t="s">
        <v>23</v>
      </c>
      <c r="L21" s="6" t="s">
        <v>22</v>
      </c>
      <c r="M21" s="6" t="s">
        <v>26</v>
      </c>
      <c r="N21" s="6"/>
      <c r="O21" s="7" t="str">
        <f t="shared" si="1"/>
        <v>Benigno, Reis, Hofmann</v>
      </c>
      <c r="P21" s="15" t="s">
        <v>27</v>
      </c>
    </row>
    <row r="22" spans="1:16" ht="48" customHeight="1" x14ac:dyDescent="0.2">
      <c r="A22" s="3" t="s">
        <v>111</v>
      </c>
      <c r="B22" s="3" t="s">
        <v>112</v>
      </c>
      <c r="C22" s="3" t="s">
        <v>113</v>
      </c>
      <c r="D22" s="3" t="s">
        <v>31</v>
      </c>
      <c r="E22" s="4">
        <v>46334</v>
      </c>
      <c r="F22" s="4">
        <v>46334</v>
      </c>
      <c r="G22" s="5">
        <f t="shared" ca="1" si="0"/>
        <v>20</v>
      </c>
      <c r="H22" s="3">
        <v>2</v>
      </c>
      <c r="I22" s="3" t="s">
        <v>114</v>
      </c>
      <c r="J22" s="3"/>
      <c r="K22" s="6" t="s">
        <v>23</v>
      </c>
      <c r="L22" s="6" t="s">
        <v>22</v>
      </c>
      <c r="M22" s="6"/>
      <c r="N22" s="6"/>
      <c r="O22" s="7" t="str">
        <f t="shared" si="1"/>
        <v>Benigno, Reis</v>
      </c>
      <c r="P22" s="15" t="s">
        <v>34</v>
      </c>
    </row>
    <row r="23" spans="1:16" ht="48" customHeight="1" x14ac:dyDescent="0.2">
      <c r="A23" s="3" t="s">
        <v>115</v>
      </c>
      <c r="B23" s="3" t="s">
        <v>116</v>
      </c>
      <c r="C23" s="3" t="s">
        <v>117</v>
      </c>
      <c r="D23" s="3" t="s">
        <v>18</v>
      </c>
      <c r="E23" s="4">
        <v>46335</v>
      </c>
      <c r="F23" s="4">
        <v>46335</v>
      </c>
      <c r="G23" s="5">
        <f t="shared" ca="1" si="0"/>
        <v>21</v>
      </c>
      <c r="H23" s="3" t="s">
        <v>118</v>
      </c>
      <c r="I23" s="3" t="s">
        <v>119</v>
      </c>
      <c r="J23" s="3" t="s">
        <v>120</v>
      </c>
      <c r="K23" s="6" t="s">
        <v>23</v>
      </c>
      <c r="L23" s="6" t="s">
        <v>22</v>
      </c>
      <c r="M23" s="6"/>
      <c r="N23" s="6"/>
      <c r="O23" s="7" t="str">
        <f t="shared" si="1"/>
        <v>Benigno, Reis</v>
      </c>
      <c r="P23" s="15" t="s">
        <v>34</v>
      </c>
    </row>
    <row r="24" spans="1:16" ht="48" customHeight="1" x14ac:dyDescent="0.2">
      <c r="A24" s="3" t="s">
        <v>121</v>
      </c>
      <c r="B24" s="3" t="s">
        <v>122</v>
      </c>
      <c r="C24" s="3" t="s">
        <v>123</v>
      </c>
      <c r="D24" s="3" t="s">
        <v>31</v>
      </c>
      <c r="E24" s="4">
        <v>46335</v>
      </c>
      <c r="F24" s="4">
        <v>46335</v>
      </c>
      <c r="G24" s="5">
        <f t="shared" ca="1" si="0"/>
        <v>21</v>
      </c>
      <c r="H24" s="3" t="s">
        <v>51</v>
      </c>
      <c r="I24" s="3" t="s">
        <v>124</v>
      </c>
      <c r="J24" s="3" t="s">
        <v>125</v>
      </c>
      <c r="K24" s="6" t="s">
        <v>23</v>
      </c>
      <c r="L24" s="6" t="s">
        <v>22</v>
      </c>
      <c r="M24" s="6" t="s">
        <v>26</v>
      </c>
      <c r="N24" s="6"/>
      <c r="O24" s="7" t="str">
        <f t="shared" si="1"/>
        <v>Benigno, Reis, Hofmann</v>
      </c>
      <c r="P24" s="15" t="s">
        <v>27</v>
      </c>
    </row>
    <row r="25" spans="1:16" ht="48" customHeight="1" x14ac:dyDescent="0.2">
      <c r="A25" s="3" t="s">
        <v>126</v>
      </c>
      <c r="B25" s="3" t="s">
        <v>42</v>
      </c>
      <c r="C25" s="3" t="s">
        <v>127</v>
      </c>
      <c r="D25" s="3" t="s">
        <v>44</v>
      </c>
      <c r="E25" s="4">
        <v>46336</v>
      </c>
      <c r="F25" s="4">
        <v>46336</v>
      </c>
      <c r="G25" s="5">
        <f t="shared" ca="1" si="0"/>
        <v>22</v>
      </c>
      <c r="H25" s="3" t="s">
        <v>128</v>
      </c>
      <c r="I25" s="3" t="s">
        <v>129</v>
      </c>
      <c r="J25" s="3" t="s">
        <v>130</v>
      </c>
      <c r="K25" s="6" t="s">
        <v>23</v>
      </c>
      <c r="L25" s="6" t="s">
        <v>22</v>
      </c>
      <c r="M25" s="6" t="s">
        <v>47</v>
      </c>
      <c r="N25" s="6"/>
      <c r="O25" s="7" t="str">
        <f t="shared" si="1"/>
        <v>Benigno, Reis, Chaudhary</v>
      </c>
      <c r="P25" s="15" t="s">
        <v>27</v>
      </c>
    </row>
    <row r="26" spans="1:16" ht="48" customHeight="1" x14ac:dyDescent="0.2">
      <c r="A26" s="3" t="s">
        <v>131</v>
      </c>
      <c r="B26" s="3" t="s">
        <v>132</v>
      </c>
      <c r="C26" s="3" t="s">
        <v>83</v>
      </c>
      <c r="D26" s="3" t="s">
        <v>31</v>
      </c>
      <c r="E26" s="4">
        <v>46336</v>
      </c>
      <c r="F26" s="4">
        <v>46336</v>
      </c>
      <c r="G26" s="5">
        <f t="shared" ca="1" si="0"/>
        <v>22</v>
      </c>
      <c r="H26" s="3">
        <v>3</v>
      </c>
      <c r="I26" s="3" t="s">
        <v>133</v>
      </c>
      <c r="J26" s="3"/>
      <c r="K26" s="6" t="s">
        <v>23</v>
      </c>
      <c r="L26" s="6" t="s">
        <v>22</v>
      </c>
      <c r="M26" s="6" t="s">
        <v>26</v>
      </c>
      <c r="N26" s="6"/>
      <c r="O26" s="7" t="str">
        <f t="shared" si="1"/>
        <v>Benigno, Reis, Hofmann</v>
      </c>
      <c r="P26" s="15" t="s">
        <v>27</v>
      </c>
    </row>
    <row r="27" spans="1:16" ht="48" customHeight="1" x14ac:dyDescent="0.2">
      <c r="A27" s="3" t="s">
        <v>135</v>
      </c>
      <c r="B27" s="3" t="s">
        <v>136</v>
      </c>
      <c r="C27" s="3" t="s">
        <v>137</v>
      </c>
      <c r="D27" s="3" t="s">
        <v>38</v>
      </c>
      <c r="E27" s="4">
        <v>46339</v>
      </c>
      <c r="F27" s="4">
        <v>46339</v>
      </c>
      <c r="G27" s="5">
        <f t="shared" ca="1" si="0"/>
        <v>25</v>
      </c>
      <c r="H27" s="3" t="s">
        <v>138</v>
      </c>
      <c r="I27" s="3" t="s">
        <v>139</v>
      </c>
      <c r="J27" s="3" t="s">
        <v>140</v>
      </c>
      <c r="K27" s="6" t="s">
        <v>23</v>
      </c>
      <c r="L27" s="6" t="s">
        <v>22</v>
      </c>
      <c r="M27" s="6" t="s">
        <v>26</v>
      </c>
      <c r="N27" s="6"/>
      <c r="O27" s="7" t="str">
        <f t="shared" si="1"/>
        <v>Benigno, Reis, Hofmann</v>
      </c>
      <c r="P27" s="15" t="s">
        <v>34</v>
      </c>
    </row>
    <row r="28" spans="1:16" ht="48" customHeight="1" x14ac:dyDescent="0.2">
      <c r="A28" s="3" t="s">
        <v>141</v>
      </c>
      <c r="B28" s="3" t="s">
        <v>142</v>
      </c>
      <c r="C28" s="3" t="s">
        <v>137</v>
      </c>
      <c r="D28" s="3" t="s">
        <v>31</v>
      </c>
      <c r="E28" s="4">
        <v>46339</v>
      </c>
      <c r="F28" s="4">
        <v>46339</v>
      </c>
      <c r="G28" s="5">
        <f t="shared" ca="1" si="0"/>
        <v>25</v>
      </c>
      <c r="H28" s="3">
        <v>3</v>
      </c>
      <c r="I28" s="3" t="s">
        <v>143</v>
      </c>
      <c r="J28" s="3" t="s">
        <v>144</v>
      </c>
      <c r="K28" s="6" t="s">
        <v>23</v>
      </c>
      <c r="L28" s="6" t="s">
        <v>22</v>
      </c>
      <c r="M28" s="6" t="s">
        <v>26</v>
      </c>
      <c r="N28" s="6"/>
      <c r="O28" s="7" t="str">
        <f t="shared" si="1"/>
        <v>Benigno, Reis, Hofmann</v>
      </c>
      <c r="P28" s="15" t="s">
        <v>27</v>
      </c>
    </row>
    <row r="29" spans="1:16" ht="48" customHeight="1" x14ac:dyDescent="0.2">
      <c r="A29" s="3" t="s">
        <v>145</v>
      </c>
      <c r="B29" s="3" t="s">
        <v>146</v>
      </c>
      <c r="C29" s="3" t="s">
        <v>147</v>
      </c>
      <c r="D29" s="3" t="s">
        <v>31</v>
      </c>
      <c r="E29" s="4">
        <v>46339</v>
      </c>
      <c r="F29" s="4">
        <v>46339</v>
      </c>
      <c r="G29" s="5">
        <f t="shared" ca="1" si="0"/>
        <v>25</v>
      </c>
      <c r="H29" s="3">
        <v>3</v>
      </c>
      <c r="I29" s="3" t="s">
        <v>148</v>
      </c>
      <c r="J29" s="3" t="s">
        <v>149</v>
      </c>
      <c r="K29" s="6" t="s">
        <v>23</v>
      </c>
      <c r="L29" s="6" t="s">
        <v>22</v>
      </c>
      <c r="M29" s="6" t="s">
        <v>26</v>
      </c>
      <c r="N29" s="6"/>
      <c r="O29" s="7" t="str">
        <f t="shared" si="1"/>
        <v>Benigno, Reis, Hofmann</v>
      </c>
      <c r="P29" s="15" t="s">
        <v>27</v>
      </c>
    </row>
    <row r="30" spans="1:16" ht="48" customHeight="1" x14ac:dyDescent="0.2">
      <c r="A30" s="3" t="s">
        <v>150</v>
      </c>
      <c r="B30" s="3" t="s">
        <v>151</v>
      </c>
      <c r="C30" s="3" t="s">
        <v>67</v>
      </c>
      <c r="D30" s="3" t="s">
        <v>31</v>
      </c>
      <c r="E30" s="4">
        <v>46339</v>
      </c>
      <c r="F30" s="4">
        <v>46339</v>
      </c>
      <c r="G30" s="5">
        <f t="shared" ca="1" si="0"/>
        <v>25</v>
      </c>
      <c r="H30" s="3">
        <v>3</v>
      </c>
      <c r="I30" s="3" t="s">
        <v>152</v>
      </c>
      <c r="J30" s="3" t="s">
        <v>153</v>
      </c>
      <c r="K30" s="6" t="s">
        <v>23</v>
      </c>
      <c r="L30" s="6" t="s">
        <v>22</v>
      </c>
      <c r="M30" s="6" t="s">
        <v>26</v>
      </c>
      <c r="N30" s="6"/>
      <c r="O30" s="7" t="str">
        <f t="shared" si="1"/>
        <v>Benigno, Reis, Hofmann</v>
      </c>
      <c r="P30" s="15" t="s">
        <v>27</v>
      </c>
    </row>
    <row r="31" spans="1:16" ht="48" customHeight="1" x14ac:dyDescent="0.2">
      <c r="A31" s="3" t="s">
        <v>154</v>
      </c>
      <c r="B31" s="3" t="s">
        <v>155</v>
      </c>
      <c r="C31" s="3" t="s">
        <v>67</v>
      </c>
      <c r="D31" s="3" t="s">
        <v>44</v>
      </c>
      <c r="E31" s="4">
        <v>46339</v>
      </c>
      <c r="F31" s="4">
        <v>46339</v>
      </c>
      <c r="G31" s="5">
        <f t="shared" ca="1" si="0"/>
        <v>25</v>
      </c>
      <c r="H31" s="3">
        <v>3</v>
      </c>
      <c r="I31" s="3" t="s">
        <v>156</v>
      </c>
      <c r="J31" s="3" t="s">
        <v>157</v>
      </c>
      <c r="K31" s="6" t="s">
        <v>23</v>
      </c>
      <c r="L31" s="6" t="s">
        <v>22</v>
      </c>
      <c r="M31" s="6" t="s">
        <v>47</v>
      </c>
      <c r="N31" s="6"/>
      <c r="O31" s="7" t="str">
        <f t="shared" si="1"/>
        <v>Benigno, Reis, Chaudhary</v>
      </c>
      <c r="P31" s="15" t="s">
        <v>27</v>
      </c>
    </row>
    <row r="32" spans="1:16" ht="48" customHeight="1" x14ac:dyDescent="0.2">
      <c r="A32" s="3" t="s">
        <v>158</v>
      </c>
      <c r="B32" s="3" t="s">
        <v>42</v>
      </c>
      <c r="C32" s="3" t="s">
        <v>159</v>
      </c>
      <c r="D32" s="3" t="s">
        <v>44</v>
      </c>
      <c r="E32" s="4">
        <v>46339</v>
      </c>
      <c r="F32" s="4">
        <v>46339</v>
      </c>
      <c r="G32" s="5">
        <f t="shared" ca="1" si="0"/>
        <v>25</v>
      </c>
      <c r="H32" s="3">
        <v>3</v>
      </c>
      <c r="I32" s="3" t="s">
        <v>160</v>
      </c>
      <c r="J32" s="3" t="s">
        <v>161</v>
      </c>
      <c r="K32" s="6" t="s">
        <v>23</v>
      </c>
      <c r="L32" s="6" t="s">
        <v>22</v>
      </c>
      <c r="M32" s="6" t="s">
        <v>47</v>
      </c>
      <c r="N32" s="6"/>
      <c r="O32" s="7" t="str">
        <f t="shared" si="1"/>
        <v>Benigno, Reis, Chaudhary</v>
      </c>
      <c r="P32" s="15" t="s">
        <v>27</v>
      </c>
    </row>
    <row r="33" spans="1:16" ht="48" customHeight="1" x14ac:dyDescent="0.2">
      <c r="A33" s="3" t="s">
        <v>162</v>
      </c>
      <c r="B33" s="3" t="s">
        <v>163</v>
      </c>
      <c r="C33" s="3" t="s">
        <v>99</v>
      </c>
      <c r="D33" s="3" t="s">
        <v>31</v>
      </c>
      <c r="E33" s="4">
        <v>46339</v>
      </c>
      <c r="F33" s="4">
        <v>46339</v>
      </c>
      <c r="G33" s="5">
        <f t="shared" ca="1" si="0"/>
        <v>25</v>
      </c>
      <c r="H33" s="3">
        <v>3</v>
      </c>
      <c r="I33" s="3" t="s">
        <v>164</v>
      </c>
      <c r="J33" s="3" t="s">
        <v>165</v>
      </c>
      <c r="K33" s="6" t="s">
        <v>23</v>
      </c>
      <c r="L33" s="6" t="s">
        <v>22</v>
      </c>
      <c r="M33" s="6" t="s">
        <v>26</v>
      </c>
      <c r="N33" s="6"/>
      <c r="O33" s="7" t="str">
        <f t="shared" si="1"/>
        <v>Benigno, Reis, Hofmann</v>
      </c>
      <c r="P33" s="15" t="s">
        <v>27</v>
      </c>
    </row>
    <row r="34" spans="1:16" ht="48" customHeight="1" x14ac:dyDescent="0.2">
      <c r="A34" s="3" t="s">
        <v>166</v>
      </c>
      <c r="B34" s="3" t="s">
        <v>42</v>
      </c>
      <c r="C34" s="3" t="s">
        <v>67</v>
      </c>
      <c r="D34" s="3" t="s">
        <v>44</v>
      </c>
      <c r="E34" s="4">
        <v>46339</v>
      </c>
      <c r="F34" s="4">
        <v>46339</v>
      </c>
      <c r="G34" s="5">
        <f t="shared" ref="G34:G64" ca="1" si="2">IF(F34&lt;&gt;"",F34-TODAY(),IF(E34&lt;&gt;"",E34-TODAY(),""))</f>
        <v>25</v>
      </c>
      <c r="H34" s="3" t="s">
        <v>51</v>
      </c>
      <c r="I34" s="3" t="s">
        <v>167</v>
      </c>
      <c r="J34" s="3"/>
      <c r="K34" s="6" t="s">
        <v>23</v>
      </c>
      <c r="L34" s="6" t="s">
        <v>22</v>
      </c>
      <c r="M34" s="6" t="s">
        <v>47</v>
      </c>
      <c r="N34" s="6"/>
      <c r="O34" s="7" t="str">
        <f t="shared" si="1"/>
        <v>Benigno, Reis, Chaudhary</v>
      </c>
      <c r="P34" s="15" t="s">
        <v>27</v>
      </c>
    </row>
    <row r="35" spans="1:16" ht="48" customHeight="1" x14ac:dyDescent="0.2">
      <c r="A35" s="3" t="s">
        <v>168</v>
      </c>
      <c r="B35" s="3" t="s">
        <v>169</v>
      </c>
      <c r="C35" s="3" t="s">
        <v>170</v>
      </c>
      <c r="D35" s="3" t="s">
        <v>44</v>
      </c>
      <c r="E35" s="4">
        <v>46339</v>
      </c>
      <c r="F35" s="4">
        <v>46339</v>
      </c>
      <c r="G35" s="5">
        <f t="shared" ca="1" si="2"/>
        <v>25</v>
      </c>
      <c r="H35" s="3">
        <v>3</v>
      </c>
      <c r="I35" s="3" t="s">
        <v>171</v>
      </c>
      <c r="J35" s="3" t="s">
        <v>172</v>
      </c>
      <c r="K35" s="6" t="s">
        <v>23</v>
      </c>
      <c r="L35" s="6" t="s">
        <v>22</v>
      </c>
      <c r="M35" s="6" t="s">
        <v>47</v>
      </c>
      <c r="N35" s="6"/>
      <c r="O35" s="7" t="str">
        <f t="shared" si="1"/>
        <v>Benigno, Reis, Chaudhary</v>
      </c>
      <c r="P35" s="15" t="s">
        <v>34</v>
      </c>
    </row>
    <row r="36" spans="1:16" ht="48" customHeight="1" x14ac:dyDescent="0.2">
      <c r="A36" s="3" t="s">
        <v>173</v>
      </c>
      <c r="B36" s="3" t="s">
        <v>174</v>
      </c>
      <c r="C36" s="3" t="s">
        <v>90</v>
      </c>
      <c r="D36" s="3" t="s">
        <v>31</v>
      </c>
      <c r="E36" s="4">
        <v>46339</v>
      </c>
      <c r="F36" s="4">
        <v>46339</v>
      </c>
      <c r="G36" s="5">
        <f t="shared" ca="1" si="2"/>
        <v>25</v>
      </c>
      <c r="H36" s="3" t="s">
        <v>51</v>
      </c>
      <c r="I36" s="3" t="s">
        <v>175</v>
      </c>
      <c r="J36" s="3" t="s">
        <v>176</v>
      </c>
      <c r="K36" s="6" t="s">
        <v>23</v>
      </c>
      <c r="L36" s="6" t="s">
        <v>22</v>
      </c>
      <c r="M36" s="6" t="s">
        <v>26</v>
      </c>
      <c r="N36" s="6"/>
      <c r="O36" s="7" t="str">
        <f t="shared" si="1"/>
        <v>Benigno, Reis, Hofmann</v>
      </c>
      <c r="P36" s="15" t="s">
        <v>27</v>
      </c>
    </row>
    <row r="37" spans="1:16" ht="48" customHeight="1" x14ac:dyDescent="0.2">
      <c r="A37" s="3" t="s">
        <v>177</v>
      </c>
      <c r="B37" s="3" t="s">
        <v>178</v>
      </c>
      <c r="C37" s="3" t="s">
        <v>179</v>
      </c>
      <c r="D37" s="3" t="s">
        <v>31</v>
      </c>
      <c r="E37" s="4">
        <v>46339</v>
      </c>
      <c r="F37" s="4">
        <v>46339</v>
      </c>
      <c r="G37" s="5">
        <f t="shared" ca="1" si="2"/>
        <v>25</v>
      </c>
      <c r="H37" s="3">
        <v>3</v>
      </c>
      <c r="I37" s="3" t="s">
        <v>180</v>
      </c>
      <c r="J37" s="3" t="s">
        <v>181</v>
      </c>
      <c r="K37" s="6" t="s">
        <v>23</v>
      </c>
      <c r="L37" s="6" t="s">
        <v>22</v>
      </c>
      <c r="M37" s="6" t="s">
        <v>26</v>
      </c>
      <c r="N37" s="6"/>
      <c r="O37" s="7" t="str">
        <f t="shared" si="1"/>
        <v>Benigno, Reis, Hofmann</v>
      </c>
      <c r="P37" s="15" t="s">
        <v>27</v>
      </c>
    </row>
    <row r="38" spans="1:16" ht="48" customHeight="1" x14ac:dyDescent="0.2">
      <c r="A38" s="3" t="s">
        <v>182</v>
      </c>
      <c r="B38" s="3" t="s">
        <v>183</v>
      </c>
      <c r="C38" s="3" t="s">
        <v>67</v>
      </c>
      <c r="D38" s="3" t="s">
        <v>18</v>
      </c>
      <c r="E38" s="4">
        <v>46339</v>
      </c>
      <c r="F38" s="4">
        <v>46339</v>
      </c>
      <c r="G38" s="5">
        <f t="shared" ca="1" si="2"/>
        <v>25</v>
      </c>
      <c r="H38" s="3">
        <v>3</v>
      </c>
      <c r="I38" s="3" t="s">
        <v>184</v>
      </c>
      <c r="J38" s="3"/>
      <c r="K38" s="6" t="s">
        <v>23</v>
      </c>
      <c r="L38" s="6" t="s">
        <v>22</v>
      </c>
      <c r="M38" s="6" t="s">
        <v>26</v>
      </c>
      <c r="N38" s="6"/>
      <c r="O38" s="7" t="str">
        <f t="shared" si="1"/>
        <v>Benigno, Reis, Hofmann</v>
      </c>
      <c r="P38" s="15" t="s">
        <v>27</v>
      </c>
    </row>
    <row r="39" spans="1:16" ht="48" customHeight="1" x14ac:dyDescent="0.2">
      <c r="A39" s="3" t="s">
        <v>185</v>
      </c>
      <c r="B39" s="3" t="s">
        <v>186</v>
      </c>
      <c r="C39" s="3" t="s">
        <v>25</v>
      </c>
      <c r="D39" s="3" t="s">
        <v>44</v>
      </c>
      <c r="E39" s="4">
        <v>46341</v>
      </c>
      <c r="F39" s="4">
        <v>46341</v>
      </c>
      <c r="G39" s="5">
        <f t="shared" ca="1" si="2"/>
        <v>27</v>
      </c>
      <c r="H39" s="3">
        <v>3</v>
      </c>
      <c r="I39" s="3" t="s">
        <v>187</v>
      </c>
      <c r="J39" s="3" t="s">
        <v>188</v>
      </c>
      <c r="K39" s="6" t="s">
        <v>23</v>
      </c>
      <c r="L39" s="6" t="s">
        <v>22</v>
      </c>
      <c r="M39" s="6" t="s">
        <v>47</v>
      </c>
      <c r="N39" s="6"/>
      <c r="O39" s="7" t="str">
        <f t="shared" si="1"/>
        <v>Benigno, Reis, Chaudhary</v>
      </c>
      <c r="P39" s="15" t="s">
        <v>34</v>
      </c>
    </row>
    <row r="40" spans="1:16" ht="48" customHeight="1" x14ac:dyDescent="0.2">
      <c r="A40" s="3" t="s">
        <v>189</v>
      </c>
      <c r="B40" s="3" t="s">
        <v>190</v>
      </c>
      <c r="C40" s="3" t="s">
        <v>170</v>
      </c>
      <c r="D40" s="3" t="s">
        <v>31</v>
      </c>
      <c r="E40" s="4">
        <v>46341</v>
      </c>
      <c r="F40" s="4">
        <v>46341</v>
      </c>
      <c r="G40" s="5">
        <f t="shared" ca="1" si="2"/>
        <v>27</v>
      </c>
      <c r="H40" s="3">
        <v>3</v>
      </c>
      <c r="I40" s="3" t="s">
        <v>191</v>
      </c>
      <c r="J40" s="3" t="s">
        <v>192</v>
      </c>
      <c r="K40" s="6" t="s">
        <v>23</v>
      </c>
      <c r="L40" s="6" t="s">
        <v>22</v>
      </c>
      <c r="M40" s="6" t="s">
        <v>26</v>
      </c>
      <c r="N40" s="6"/>
      <c r="O40" s="7" t="str">
        <f t="shared" si="1"/>
        <v>Benigno, Reis, Hofmann</v>
      </c>
      <c r="P40" s="15" t="s">
        <v>27</v>
      </c>
    </row>
    <row r="41" spans="1:16" ht="48" customHeight="1" x14ac:dyDescent="0.2">
      <c r="A41" s="3" t="s">
        <v>193</v>
      </c>
      <c r="B41" s="3" t="s">
        <v>194</v>
      </c>
      <c r="C41" s="3" t="s">
        <v>195</v>
      </c>
      <c r="D41" s="3" t="s">
        <v>31</v>
      </c>
      <c r="E41" s="4">
        <v>46341</v>
      </c>
      <c r="F41" s="4">
        <v>46341</v>
      </c>
      <c r="G41" s="5">
        <f t="shared" ca="1" si="2"/>
        <v>27</v>
      </c>
      <c r="H41" s="3">
        <v>3</v>
      </c>
      <c r="I41" s="3" t="s">
        <v>196</v>
      </c>
      <c r="J41" s="3" t="s">
        <v>197</v>
      </c>
      <c r="K41" s="6" t="s">
        <v>23</v>
      </c>
      <c r="L41" s="6" t="s">
        <v>22</v>
      </c>
      <c r="M41" s="6" t="s">
        <v>26</v>
      </c>
      <c r="N41" s="6"/>
      <c r="O41" s="7" t="str">
        <f t="shared" si="1"/>
        <v>Benigno, Reis, Hofmann</v>
      </c>
      <c r="P41" s="15" t="s">
        <v>27</v>
      </c>
    </row>
    <row r="42" spans="1:16" ht="48" customHeight="1" x14ac:dyDescent="0.2">
      <c r="A42" s="3" t="s">
        <v>198</v>
      </c>
      <c r="B42" s="3" t="s">
        <v>199</v>
      </c>
      <c r="C42" s="3" t="s">
        <v>200</v>
      </c>
      <c r="D42" s="3" t="s">
        <v>31</v>
      </c>
      <c r="E42" s="4">
        <v>46341</v>
      </c>
      <c r="F42" s="4">
        <v>46341</v>
      </c>
      <c r="G42" s="5">
        <f t="shared" ca="1" si="2"/>
        <v>27</v>
      </c>
      <c r="H42" s="3" t="s">
        <v>201</v>
      </c>
      <c r="I42" s="3" t="s">
        <v>202</v>
      </c>
      <c r="J42" s="3" t="s">
        <v>203</v>
      </c>
      <c r="K42" s="6" t="s">
        <v>23</v>
      </c>
      <c r="L42" s="6" t="s">
        <v>22</v>
      </c>
      <c r="M42" s="6" t="s">
        <v>26</v>
      </c>
      <c r="N42" s="6"/>
      <c r="O42" s="7" t="str">
        <f t="shared" si="1"/>
        <v>Benigno, Reis, Hofmann</v>
      </c>
      <c r="P42" s="15" t="s">
        <v>27</v>
      </c>
    </row>
    <row r="43" spans="1:16" ht="48" customHeight="1" x14ac:dyDescent="0.2">
      <c r="A43" s="3" t="s">
        <v>204</v>
      </c>
      <c r="B43" s="3" t="s">
        <v>205</v>
      </c>
      <c r="C43" s="3" t="s">
        <v>206</v>
      </c>
      <c r="D43" s="3" t="s">
        <v>44</v>
      </c>
      <c r="E43" s="4">
        <v>46341</v>
      </c>
      <c r="F43" s="4"/>
      <c r="G43" s="5">
        <f t="shared" ca="1" si="2"/>
        <v>27</v>
      </c>
      <c r="H43" s="3" t="s">
        <v>207</v>
      </c>
      <c r="I43" s="3" t="s">
        <v>208</v>
      </c>
      <c r="J43" s="3"/>
      <c r="K43" s="6" t="s">
        <v>23</v>
      </c>
      <c r="L43" s="6" t="s">
        <v>22</v>
      </c>
      <c r="M43" s="6" t="s">
        <v>47</v>
      </c>
      <c r="N43" s="6"/>
      <c r="O43" s="7" t="str">
        <f t="shared" si="1"/>
        <v>Benigno, Reis, Chaudhary</v>
      </c>
      <c r="P43" s="15" t="s">
        <v>76</v>
      </c>
    </row>
    <row r="44" spans="1:16" ht="48" customHeight="1" x14ac:dyDescent="0.2">
      <c r="A44" s="3" t="s">
        <v>209</v>
      </c>
      <c r="B44" s="3" t="s">
        <v>210</v>
      </c>
      <c r="C44" s="3" t="s">
        <v>211</v>
      </c>
      <c r="D44" s="3" t="s">
        <v>38</v>
      </c>
      <c r="E44" s="4">
        <v>46341</v>
      </c>
      <c r="F44" s="4">
        <v>46341</v>
      </c>
      <c r="G44" s="5">
        <f t="shared" ca="1" si="2"/>
        <v>27</v>
      </c>
      <c r="H44" s="3">
        <v>3</v>
      </c>
      <c r="I44" s="3" t="s">
        <v>212</v>
      </c>
      <c r="J44" s="3" t="s">
        <v>213</v>
      </c>
      <c r="K44" s="6" t="s">
        <v>23</v>
      </c>
      <c r="L44" s="6" t="s">
        <v>22</v>
      </c>
      <c r="M44" s="6" t="s">
        <v>26</v>
      </c>
      <c r="N44" s="6"/>
      <c r="O44" s="7" t="str">
        <f t="shared" si="1"/>
        <v>Benigno, Reis, Hofmann</v>
      </c>
      <c r="P44" s="15" t="s">
        <v>27</v>
      </c>
    </row>
    <row r="45" spans="1:16" ht="48" customHeight="1" x14ac:dyDescent="0.2">
      <c r="A45" s="3" t="s">
        <v>214</v>
      </c>
      <c r="B45" s="3" t="s">
        <v>215</v>
      </c>
      <c r="C45" s="3" t="s">
        <v>216</v>
      </c>
      <c r="D45" s="3" t="s">
        <v>31</v>
      </c>
      <c r="E45" s="4">
        <v>46341</v>
      </c>
      <c r="F45" s="4">
        <v>46341</v>
      </c>
      <c r="G45" s="5">
        <f t="shared" ca="1" si="2"/>
        <v>27</v>
      </c>
      <c r="H45" s="3">
        <v>3</v>
      </c>
      <c r="I45" s="3" t="s">
        <v>217</v>
      </c>
      <c r="J45" s="3"/>
      <c r="K45" s="6" t="s">
        <v>23</v>
      </c>
      <c r="L45" s="6" t="s">
        <v>22</v>
      </c>
      <c r="M45" s="6" t="s">
        <v>26</v>
      </c>
      <c r="N45" s="6"/>
      <c r="O45" s="7" t="str">
        <f t="shared" si="1"/>
        <v>Benigno, Reis, Hofmann</v>
      </c>
      <c r="P45" s="15" t="s">
        <v>27</v>
      </c>
    </row>
    <row r="46" spans="1:16" ht="48" customHeight="1" x14ac:dyDescent="0.2">
      <c r="A46" s="3" t="s">
        <v>218</v>
      </c>
      <c r="B46" s="3" t="s">
        <v>219</v>
      </c>
      <c r="C46" s="3" t="s">
        <v>206</v>
      </c>
      <c r="D46" s="3" t="s">
        <v>31</v>
      </c>
      <c r="E46" s="4">
        <v>46341</v>
      </c>
      <c r="F46" s="4"/>
      <c r="G46" s="5">
        <f t="shared" ca="1" si="2"/>
        <v>27</v>
      </c>
      <c r="H46" s="3" t="s">
        <v>220</v>
      </c>
      <c r="I46" s="3" t="s">
        <v>221</v>
      </c>
      <c r="J46" s="3" t="s">
        <v>222</v>
      </c>
      <c r="K46" s="6" t="s">
        <v>23</v>
      </c>
      <c r="L46" s="6" t="s">
        <v>22</v>
      </c>
      <c r="M46" s="6" t="s">
        <v>26</v>
      </c>
      <c r="N46" s="6"/>
      <c r="O46" s="7" t="str">
        <f t="shared" si="1"/>
        <v>Benigno, Reis, Hofmann</v>
      </c>
      <c r="P46" s="15" t="s">
        <v>24</v>
      </c>
    </row>
    <row r="47" spans="1:16" ht="48" customHeight="1" x14ac:dyDescent="0.2">
      <c r="A47" s="3" t="s">
        <v>223</v>
      </c>
      <c r="B47" s="3" t="s">
        <v>224</v>
      </c>
      <c r="C47" s="3" t="s">
        <v>216</v>
      </c>
      <c r="D47" s="3" t="s">
        <v>44</v>
      </c>
      <c r="E47" s="4">
        <v>46341</v>
      </c>
      <c r="F47" s="4">
        <v>46341</v>
      </c>
      <c r="G47" s="5">
        <f t="shared" ca="1" si="2"/>
        <v>27</v>
      </c>
      <c r="H47" s="3">
        <v>3</v>
      </c>
      <c r="I47" s="3" t="s">
        <v>225</v>
      </c>
      <c r="J47" s="3"/>
      <c r="K47" s="6" t="s">
        <v>23</v>
      </c>
      <c r="L47" s="6" t="s">
        <v>22</v>
      </c>
      <c r="M47" s="6" t="s">
        <v>47</v>
      </c>
      <c r="N47" s="6"/>
      <c r="O47" s="7" t="str">
        <f t="shared" si="1"/>
        <v>Benigno, Reis, Chaudhary</v>
      </c>
      <c r="P47" s="15" t="s">
        <v>27</v>
      </c>
    </row>
    <row r="48" spans="1:16" ht="48" customHeight="1" x14ac:dyDescent="0.2">
      <c r="A48" s="3" t="s">
        <v>226</v>
      </c>
      <c r="B48" s="3" t="s">
        <v>227</v>
      </c>
      <c r="C48" s="3" t="s">
        <v>216</v>
      </c>
      <c r="D48" s="3" t="s">
        <v>31</v>
      </c>
      <c r="E48" s="4">
        <v>46341</v>
      </c>
      <c r="F48" s="4">
        <v>46341</v>
      </c>
      <c r="G48" s="5">
        <f t="shared" ca="1" si="2"/>
        <v>27</v>
      </c>
      <c r="H48" s="3">
        <v>3</v>
      </c>
      <c r="I48" s="3" t="s">
        <v>228</v>
      </c>
      <c r="J48" s="3"/>
      <c r="K48" s="6" t="s">
        <v>23</v>
      </c>
      <c r="L48" s="6" t="s">
        <v>22</v>
      </c>
      <c r="M48" s="6" t="s">
        <v>26</v>
      </c>
      <c r="N48" s="6"/>
      <c r="O48" s="7" t="str">
        <f t="shared" si="1"/>
        <v>Benigno, Reis, Hofmann</v>
      </c>
      <c r="P48" s="15" t="s">
        <v>27</v>
      </c>
    </row>
    <row r="49" spans="1:16" ht="48" customHeight="1" x14ac:dyDescent="0.2">
      <c r="A49" s="3" t="s">
        <v>229</v>
      </c>
      <c r="B49" s="3" t="s">
        <v>230</v>
      </c>
      <c r="C49" s="3" t="s">
        <v>231</v>
      </c>
      <c r="D49" s="3" t="s">
        <v>44</v>
      </c>
      <c r="E49" s="4">
        <v>46341</v>
      </c>
      <c r="F49" s="4"/>
      <c r="G49" s="5">
        <f t="shared" ca="1" si="2"/>
        <v>27</v>
      </c>
      <c r="H49" s="3" t="s">
        <v>24</v>
      </c>
      <c r="I49" s="3" t="s">
        <v>232</v>
      </c>
      <c r="J49" s="3"/>
      <c r="K49" s="6" t="s">
        <v>23</v>
      </c>
      <c r="L49" s="6" t="s">
        <v>22</v>
      </c>
      <c r="M49" s="6" t="s">
        <v>47</v>
      </c>
      <c r="N49" s="6"/>
      <c r="O49" s="7" t="str">
        <f t="shared" si="1"/>
        <v>Benigno, Reis, Chaudhary</v>
      </c>
      <c r="P49" s="15" t="s">
        <v>24</v>
      </c>
    </row>
    <row r="50" spans="1:16" ht="48" customHeight="1" x14ac:dyDescent="0.2">
      <c r="A50" s="3" t="s">
        <v>233</v>
      </c>
      <c r="B50" s="3" t="s">
        <v>234</v>
      </c>
      <c r="C50" s="3" t="s">
        <v>235</v>
      </c>
      <c r="D50" s="3" t="s">
        <v>31</v>
      </c>
      <c r="E50" s="4">
        <v>46341</v>
      </c>
      <c r="F50" s="4">
        <v>46341</v>
      </c>
      <c r="G50" s="5">
        <f t="shared" ca="1" si="2"/>
        <v>27</v>
      </c>
      <c r="H50" s="3">
        <v>2</v>
      </c>
      <c r="I50" s="3" t="s">
        <v>236</v>
      </c>
      <c r="J50" s="3"/>
      <c r="K50" s="6" t="s">
        <v>23</v>
      </c>
      <c r="L50" s="6" t="s">
        <v>22</v>
      </c>
      <c r="M50" s="6"/>
      <c r="N50" s="6"/>
      <c r="O50" s="7" t="str">
        <f t="shared" si="1"/>
        <v>Benigno, Reis</v>
      </c>
      <c r="P50" s="15" t="s">
        <v>27</v>
      </c>
    </row>
    <row r="51" spans="1:16" ht="48" customHeight="1" x14ac:dyDescent="0.2">
      <c r="A51" s="3" t="s">
        <v>237</v>
      </c>
      <c r="B51" s="3" t="s">
        <v>238</v>
      </c>
      <c r="C51" s="3" t="s">
        <v>147</v>
      </c>
      <c r="D51" s="3" t="s">
        <v>31</v>
      </c>
      <c r="E51" s="4">
        <v>46341</v>
      </c>
      <c r="F51" s="4">
        <v>46341</v>
      </c>
      <c r="G51" s="5">
        <f t="shared" ca="1" si="2"/>
        <v>27</v>
      </c>
      <c r="H51" s="3">
        <v>3</v>
      </c>
      <c r="I51" s="3" t="s">
        <v>236</v>
      </c>
      <c r="J51" s="3"/>
      <c r="K51" s="6" t="s">
        <v>23</v>
      </c>
      <c r="L51" s="6" t="s">
        <v>22</v>
      </c>
      <c r="M51" s="6" t="s">
        <v>26</v>
      </c>
      <c r="N51" s="6"/>
      <c r="O51" s="7" t="str">
        <f t="shared" si="1"/>
        <v>Benigno, Reis, Hofmann</v>
      </c>
      <c r="P51" s="15" t="s">
        <v>27</v>
      </c>
    </row>
    <row r="52" spans="1:16" ht="48" customHeight="1" x14ac:dyDescent="0.2">
      <c r="A52" s="3" t="s">
        <v>239</v>
      </c>
      <c r="B52" s="3" t="s">
        <v>240</v>
      </c>
      <c r="C52" s="3" t="s">
        <v>67</v>
      </c>
      <c r="D52" s="3" t="s">
        <v>134</v>
      </c>
      <c r="E52" s="4">
        <v>46341</v>
      </c>
      <c r="F52" s="4">
        <v>46341</v>
      </c>
      <c r="G52" s="5">
        <f t="shared" ca="1" si="2"/>
        <v>27</v>
      </c>
      <c r="H52" s="3">
        <v>3</v>
      </c>
      <c r="I52" s="3" t="s">
        <v>241</v>
      </c>
      <c r="J52" s="3"/>
      <c r="K52" s="6" t="s">
        <v>23</v>
      </c>
      <c r="L52" s="6" t="s">
        <v>22</v>
      </c>
      <c r="M52" s="6" t="s">
        <v>26</v>
      </c>
      <c r="N52" s="6"/>
      <c r="O52" s="7" t="str">
        <f t="shared" si="1"/>
        <v>Benigno, Reis, Hofmann</v>
      </c>
      <c r="P52" s="15" t="s">
        <v>27</v>
      </c>
    </row>
    <row r="53" spans="1:16" ht="48" customHeight="1" x14ac:dyDescent="0.2">
      <c r="A53" s="3" t="s">
        <v>242</v>
      </c>
      <c r="B53" s="3" t="s">
        <v>178</v>
      </c>
      <c r="C53" s="3" t="s">
        <v>243</v>
      </c>
      <c r="D53" s="3" t="s">
        <v>31</v>
      </c>
      <c r="E53" s="4">
        <v>46341</v>
      </c>
      <c r="F53" s="4">
        <v>46341</v>
      </c>
      <c r="G53" s="5">
        <f t="shared" ca="1" si="2"/>
        <v>27</v>
      </c>
      <c r="H53" s="3">
        <v>3</v>
      </c>
      <c r="I53" s="3" t="s">
        <v>244</v>
      </c>
      <c r="J53" s="3"/>
      <c r="K53" s="6" t="s">
        <v>23</v>
      </c>
      <c r="L53" s="6" t="s">
        <v>22</v>
      </c>
      <c r="M53" s="6" t="s">
        <v>26</v>
      </c>
      <c r="N53" s="6"/>
      <c r="O53" s="7" t="str">
        <f t="shared" si="1"/>
        <v>Benigno, Reis, Hofmann</v>
      </c>
      <c r="P53" s="15" t="s">
        <v>27</v>
      </c>
    </row>
    <row r="54" spans="1:16" ht="48" customHeight="1" x14ac:dyDescent="0.2">
      <c r="A54" s="3" t="s">
        <v>245</v>
      </c>
      <c r="B54" s="3" t="s">
        <v>246</v>
      </c>
      <c r="C54" s="3" t="s">
        <v>79</v>
      </c>
      <c r="D54" s="3" t="s">
        <v>44</v>
      </c>
      <c r="E54" s="4">
        <v>46341</v>
      </c>
      <c r="F54" s="4">
        <v>46341</v>
      </c>
      <c r="G54" s="5">
        <f t="shared" ca="1" si="2"/>
        <v>27</v>
      </c>
      <c r="H54" s="3">
        <v>3</v>
      </c>
      <c r="I54" s="3" t="s">
        <v>114</v>
      </c>
      <c r="J54" s="3"/>
      <c r="K54" s="6" t="s">
        <v>23</v>
      </c>
      <c r="L54" s="6" t="s">
        <v>22</v>
      </c>
      <c r="M54" s="6" t="s">
        <v>47</v>
      </c>
      <c r="N54" s="6"/>
      <c r="O54" s="7" t="str">
        <f t="shared" si="1"/>
        <v>Benigno, Reis, Chaudhary</v>
      </c>
      <c r="P54" s="15" t="s">
        <v>34</v>
      </c>
    </row>
    <row r="55" spans="1:16" ht="48" customHeight="1" x14ac:dyDescent="0.2">
      <c r="A55" s="3" t="s">
        <v>247</v>
      </c>
      <c r="B55" s="3" t="s">
        <v>248</v>
      </c>
      <c r="C55" s="3" t="s">
        <v>249</v>
      </c>
      <c r="D55" s="3" t="s">
        <v>31</v>
      </c>
      <c r="E55" s="4">
        <v>46341</v>
      </c>
      <c r="F55" s="4">
        <v>46341</v>
      </c>
      <c r="G55" s="5">
        <f t="shared" ca="1" si="2"/>
        <v>27</v>
      </c>
      <c r="H55" s="3" t="s">
        <v>51</v>
      </c>
      <c r="I55" s="3" t="s">
        <v>250</v>
      </c>
      <c r="J55" s="3" t="s">
        <v>251</v>
      </c>
      <c r="K55" s="6" t="s">
        <v>23</v>
      </c>
      <c r="L55" s="6" t="s">
        <v>22</v>
      </c>
      <c r="M55" s="6" t="s">
        <v>26</v>
      </c>
      <c r="N55" s="6"/>
      <c r="O55" s="7" t="str">
        <f t="shared" si="1"/>
        <v>Benigno, Reis, Hofmann</v>
      </c>
      <c r="P55" s="15" t="s">
        <v>27</v>
      </c>
    </row>
    <row r="56" spans="1:16" ht="48" customHeight="1" x14ac:dyDescent="0.2">
      <c r="A56" s="3" t="s">
        <v>252</v>
      </c>
      <c r="B56" s="3" t="s">
        <v>253</v>
      </c>
      <c r="C56" s="3" t="s">
        <v>254</v>
      </c>
      <c r="D56" s="3" t="s">
        <v>38</v>
      </c>
      <c r="E56" s="4">
        <v>46341</v>
      </c>
      <c r="F56" s="4">
        <v>46341</v>
      </c>
      <c r="G56" s="5">
        <f t="shared" ca="1" si="2"/>
        <v>27</v>
      </c>
      <c r="H56" s="3">
        <v>3</v>
      </c>
      <c r="I56" s="3" t="s">
        <v>255</v>
      </c>
      <c r="J56" s="3" t="s">
        <v>256</v>
      </c>
      <c r="K56" s="6" t="s">
        <v>23</v>
      </c>
      <c r="L56" s="6" t="s">
        <v>22</v>
      </c>
      <c r="M56" s="6" t="s">
        <v>26</v>
      </c>
      <c r="N56" s="6"/>
      <c r="O56" s="7" t="str">
        <f t="shared" si="1"/>
        <v>Benigno, Reis, Hofmann</v>
      </c>
      <c r="P56" s="15" t="s">
        <v>27</v>
      </c>
    </row>
    <row r="57" spans="1:16" ht="48" customHeight="1" x14ac:dyDescent="0.2">
      <c r="A57" s="3" t="s">
        <v>257</v>
      </c>
      <c r="B57" s="3" t="s">
        <v>258</v>
      </c>
      <c r="C57" s="3" t="s">
        <v>259</v>
      </c>
      <c r="D57" s="3" t="s">
        <v>38</v>
      </c>
      <c r="E57" s="4">
        <v>46341</v>
      </c>
      <c r="F57" s="4">
        <v>46341</v>
      </c>
      <c r="G57" s="5">
        <f t="shared" ca="1" si="2"/>
        <v>27</v>
      </c>
      <c r="H57" s="3">
        <v>3</v>
      </c>
      <c r="I57" s="3" t="s">
        <v>260</v>
      </c>
      <c r="J57" s="3" t="s">
        <v>261</v>
      </c>
      <c r="K57" s="6" t="s">
        <v>23</v>
      </c>
      <c r="L57" s="6" t="s">
        <v>22</v>
      </c>
      <c r="M57" s="6" t="s">
        <v>26</v>
      </c>
      <c r="N57" s="6"/>
      <c r="O57" s="7" t="str">
        <f t="shared" si="1"/>
        <v>Benigno, Reis, Hofmann</v>
      </c>
      <c r="P57" s="15" t="s">
        <v>27</v>
      </c>
    </row>
    <row r="58" spans="1:16" ht="48" customHeight="1" x14ac:dyDescent="0.2">
      <c r="A58" s="3" t="s">
        <v>65</v>
      </c>
      <c r="B58" s="3" t="s">
        <v>262</v>
      </c>
      <c r="C58" s="3" t="s">
        <v>67</v>
      </c>
      <c r="D58" s="3" t="s">
        <v>44</v>
      </c>
      <c r="E58" s="4">
        <v>46341</v>
      </c>
      <c r="F58" s="4">
        <v>46341</v>
      </c>
      <c r="G58" s="5">
        <f t="shared" ca="1" si="2"/>
        <v>27</v>
      </c>
      <c r="H58" s="3" t="s">
        <v>51</v>
      </c>
      <c r="I58" s="3" t="s">
        <v>52</v>
      </c>
      <c r="J58" s="3"/>
      <c r="K58" s="6" t="s">
        <v>23</v>
      </c>
      <c r="L58" s="6" t="s">
        <v>22</v>
      </c>
      <c r="M58" s="6" t="s">
        <v>47</v>
      </c>
      <c r="N58" s="6"/>
      <c r="O58" s="7" t="str">
        <f t="shared" si="1"/>
        <v>Benigno, Reis, Chaudhary</v>
      </c>
      <c r="P58" s="15" t="s">
        <v>27</v>
      </c>
    </row>
    <row r="59" spans="1:16" ht="48" customHeight="1" x14ac:dyDescent="0.2">
      <c r="A59" s="3" t="s">
        <v>263</v>
      </c>
      <c r="B59" s="3" t="s">
        <v>264</v>
      </c>
      <c r="C59" s="3" t="s">
        <v>265</v>
      </c>
      <c r="D59" s="3" t="s">
        <v>31</v>
      </c>
      <c r="E59" s="4">
        <v>46341</v>
      </c>
      <c r="F59" s="4">
        <v>46341</v>
      </c>
      <c r="G59" s="5">
        <f t="shared" ca="1" si="2"/>
        <v>27</v>
      </c>
      <c r="H59" s="3">
        <v>3</v>
      </c>
      <c r="I59" s="3" t="s">
        <v>266</v>
      </c>
      <c r="J59" s="3" t="s">
        <v>267</v>
      </c>
      <c r="K59" s="6" t="s">
        <v>23</v>
      </c>
      <c r="L59" s="6" t="s">
        <v>22</v>
      </c>
      <c r="M59" s="6" t="s">
        <v>26</v>
      </c>
      <c r="N59" s="6"/>
      <c r="O59" s="7" t="str">
        <f t="shared" si="1"/>
        <v>Benigno, Reis, Hofmann</v>
      </c>
      <c r="P59" s="15" t="s">
        <v>27</v>
      </c>
    </row>
    <row r="60" spans="1:16" ht="48" customHeight="1" x14ac:dyDescent="0.2">
      <c r="A60" s="3" t="s">
        <v>268</v>
      </c>
      <c r="B60" s="3" t="s">
        <v>269</v>
      </c>
      <c r="C60" s="3" t="s">
        <v>270</v>
      </c>
      <c r="D60" s="3" t="s">
        <v>31</v>
      </c>
      <c r="E60" s="4">
        <v>46341</v>
      </c>
      <c r="F60" s="4">
        <v>46341</v>
      </c>
      <c r="G60" s="5">
        <f t="shared" ca="1" si="2"/>
        <v>27</v>
      </c>
      <c r="H60" s="3" t="s">
        <v>271</v>
      </c>
      <c r="I60" s="3" t="s">
        <v>272</v>
      </c>
      <c r="J60" s="3"/>
      <c r="K60" s="6" t="s">
        <v>23</v>
      </c>
      <c r="L60" s="6" t="s">
        <v>22</v>
      </c>
      <c r="M60" s="6"/>
      <c r="N60" s="6"/>
      <c r="O60" s="7" t="str">
        <f t="shared" si="1"/>
        <v>Benigno, Reis</v>
      </c>
      <c r="P60" s="15" t="s">
        <v>27</v>
      </c>
    </row>
    <row r="61" spans="1:16" ht="48" customHeight="1" x14ac:dyDescent="0.2">
      <c r="A61" s="3" t="s">
        <v>273</v>
      </c>
      <c r="B61" s="3" t="s">
        <v>274</v>
      </c>
      <c r="C61" s="3" t="s">
        <v>275</v>
      </c>
      <c r="D61" s="3" t="s">
        <v>44</v>
      </c>
      <c r="E61" s="4">
        <v>46341</v>
      </c>
      <c r="F61" s="4">
        <v>46341</v>
      </c>
      <c r="G61" s="5">
        <f t="shared" ca="1" si="2"/>
        <v>27</v>
      </c>
      <c r="H61" s="3">
        <v>3</v>
      </c>
      <c r="I61" s="3" t="s">
        <v>276</v>
      </c>
      <c r="J61" s="3" t="s">
        <v>277</v>
      </c>
      <c r="K61" s="6" t="s">
        <v>23</v>
      </c>
      <c r="L61" s="6" t="s">
        <v>22</v>
      </c>
      <c r="M61" s="6" t="s">
        <v>47</v>
      </c>
      <c r="N61" s="6"/>
      <c r="O61" s="7" t="str">
        <f t="shared" si="1"/>
        <v>Benigno, Reis, Chaudhary</v>
      </c>
      <c r="P61" s="15" t="s">
        <v>27</v>
      </c>
    </row>
    <row r="62" spans="1:16" ht="48" customHeight="1" x14ac:dyDescent="0.2">
      <c r="A62" s="3" t="s">
        <v>278</v>
      </c>
      <c r="B62" s="3" t="s">
        <v>279</v>
      </c>
      <c r="C62" s="3" t="s">
        <v>280</v>
      </c>
      <c r="D62" s="3" t="s">
        <v>38</v>
      </c>
      <c r="E62" s="4">
        <v>46362</v>
      </c>
      <c r="F62" s="4">
        <v>46341</v>
      </c>
      <c r="G62" s="5">
        <f t="shared" ca="1" si="2"/>
        <v>27</v>
      </c>
      <c r="H62" s="3">
        <v>3</v>
      </c>
      <c r="I62" s="3" t="s">
        <v>281</v>
      </c>
      <c r="J62" s="3" t="s">
        <v>282</v>
      </c>
      <c r="K62" s="6" t="s">
        <v>23</v>
      </c>
      <c r="L62" s="6" t="s">
        <v>22</v>
      </c>
      <c r="M62" s="6" t="s">
        <v>26</v>
      </c>
      <c r="N62" s="6"/>
      <c r="O62" s="7" t="str">
        <f t="shared" si="1"/>
        <v>Benigno, Reis, Hofmann</v>
      </c>
      <c r="P62" s="15" t="s">
        <v>27</v>
      </c>
    </row>
    <row r="63" spans="1:16" ht="48" customHeight="1" x14ac:dyDescent="0.2">
      <c r="A63" s="3" t="s">
        <v>283</v>
      </c>
      <c r="B63" s="3" t="s">
        <v>284</v>
      </c>
      <c r="C63" s="3" t="s">
        <v>285</v>
      </c>
      <c r="D63" s="3" t="s">
        <v>31</v>
      </c>
      <c r="E63" s="4">
        <v>46341</v>
      </c>
      <c r="F63" s="4">
        <v>46341</v>
      </c>
      <c r="G63" s="5">
        <f t="shared" ca="1" si="2"/>
        <v>27</v>
      </c>
      <c r="H63" s="3">
        <v>3</v>
      </c>
      <c r="I63" s="3" t="s">
        <v>286</v>
      </c>
      <c r="J63" s="3" t="s">
        <v>287</v>
      </c>
      <c r="K63" s="6" t="s">
        <v>23</v>
      </c>
      <c r="L63" s="6" t="s">
        <v>22</v>
      </c>
      <c r="M63" s="6" t="s">
        <v>26</v>
      </c>
      <c r="N63" s="6"/>
      <c r="O63" s="7" t="str">
        <f t="shared" si="1"/>
        <v>Benigno, Reis, Hofmann</v>
      </c>
      <c r="P63" s="15" t="s">
        <v>27</v>
      </c>
    </row>
    <row r="64" spans="1:16" ht="48" customHeight="1" x14ac:dyDescent="0.2">
      <c r="A64" s="3" t="s">
        <v>288</v>
      </c>
      <c r="B64" s="3" t="s">
        <v>289</v>
      </c>
      <c r="C64" s="3" t="s">
        <v>290</v>
      </c>
      <c r="D64" s="3" t="s">
        <v>31</v>
      </c>
      <c r="E64" s="4">
        <v>46341</v>
      </c>
      <c r="F64" s="4">
        <v>46341</v>
      </c>
      <c r="G64" s="5">
        <f t="shared" ca="1" si="2"/>
        <v>27</v>
      </c>
      <c r="H64" s="3">
        <v>3</v>
      </c>
      <c r="I64" s="3" t="s">
        <v>291</v>
      </c>
      <c r="J64" s="3" t="s">
        <v>222</v>
      </c>
      <c r="K64" s="6" t="s">
        <v>23</v>
      </c>
      <c r="L64" s="6" t="s">
        <v>22</v>
      </c>
      <c r="M64" s="6" t="s">
        <v>26</v>
      </c>
      <c r="N64" s="6"/>
      <c r="O64" s="7" t="str">
        <f t="shared" si="1"/>
        <v>Benigno, Reis, Hofmann</v>
      </c>
      <c r="P64" s="15" t="s">
        <v>27</v>
      </c>
    </row>
    <row r="65" spans="1:16" ht="48" customHeight="1" x14ac:dyDescent="0.2">
      <c r="A65" s="3" t="s">
        <v>292</v>
      </c>
      <c r="B65" s="3" t="s">
        <v>293</v>
      </c>
      <c r="C65" s="3" t="s">
        <v>25</v>
      </c>
      <c r="D65" s="3" t="s">
        <v>31</v>
      </c>
      <c r="E65" s="4">
        <v>46341</v>
      </c>
      <c r="F65" s="4">
        <v>46341</v>
      </c>
      <c r="G65" s="5">
        <f t="shared" ref="G65:G93" ca="1" si="3">IF(F65&lt;&gt;"",F65-TODAY(),IF(E65&lt;&gt;"",E65-TODAY(),""))</f>
        <v>27</v>
      </c>
      <c r="H65" s="3">
        <v>3</v>
      </c>
      <c r="I65" s="3" t="s">
        <v>187</v>
      </c>
      <c r="J65" s="3" t="s">
        <v>294</v>
      </c>
      <c r="K65" s="6" t="s">
        <v>23</v>
      </c>
      <c r="L65" s="6" t="s">
        <v>22</v>
      </c>
      <c r="M65" s="6" t="s">
        <v>26</v>
      </c>
      <c r="N65" s="6"/>
      <c r="O65" s="7" t="str">
        <f t="shared" si="1"/>
        <v>Benigno, Reis, Hofmann</v>
      </c>
      <c r="P65" s="15" t="s">
        <v>34</v>
      </c>
    </row>
    <row r="66" spans="1:16" ht="48" customHeight="1" x14ac:dyDescent="0.2">
      <c r="A66" s="3" t="s">
        <v>295</v>
      </c>
      <c r="B66" s="3" t="s">
        <v>296</v>
      </c>
      <c r="C66" s="3" t="s">
        <v>297</v>
      </c>
      <c r="D66" s="3" t="s">
        <v>31</v>
      </c>
      <c r="E66" s="4">
        <v>46341</v>
      </c>
      <c r="F66" s="4"/>
      <c r="G66" s="5">
        <f t="shared" ca="1" si="3"/>
        <v>27</v>
      </c>
      <c r="H66" s="3" t="s">
        <v>298</v>
      </c>
      <c r="I66" s="3" t="s">
        <v>299</v>
      </c>
      <c r="J66" s="3"/>
      <c r="K66" s="6" t="s">
        <v>23</v>
      </c>
      <c r="L66" s="6" t="s">
        <v>22</v>
      </c>
      <c r="M66" s="6"/>
      <c r="N66" s="6"/>
      <c r="O66" s="7" t="str">
        <f t="shared" si="1"/>
        <v>Benigno, Reis</v>
      </c>
      <c r="P66" s="15" t="s">
        <v>34</v>
      </c>
    </row>
    <row r="67" spans="1:16" ht="48" customHeight="1" x14ac:dyDescent="0.2">
      <c r="A67" s="3" t="s">
        <v>301</v>
      </c>
      <c r="B67" s="3" t="s">
        <v>78</v>
      </c>
      <c r="C67" s="3" t="s">
        <v>43</v>
      </c>
      <c r="D67" s="3" t="s">
        <v>31</v>
      </c>
      <c r="E67" s="4">
        <v>46341</v>
      </c>
      <c r="F67" s="4">
        <v>46341</v>
      </c>
      <c r="G67" s="5">
        <f t="shared" ca="1" si="3"/>
        <v>27</v>
      </c>
      <c r="H67" s="3">
        <v>3</v>
      </c>
      <c r="I67" s="3" t="s">
        <v>302</v>
      </c>
      <c r="J67" s="3"/>
      <c r="K67" s="6" t="s">
        <v>23</v>
      </c>
      <c r="L67" s="6" t="s">
        <v>22</v>
      </c>
      <c r="M67" s="6" t="s">
        <v>26</v>
      </c>
      <c r="N67" s="6"/>
      <c r="O67" s="7" t="str">
        <f t="shared" si="1"/>
        <v>Benigno, Reis, Hofmann</v>
      </c>
      <c r="P67" s="15" t="s">
        <v>27</v>
      </c>
    </row>
    <row r="68" spans="1:16" ht="48" customHeight="1" x14ac:dyDescent="0.2">
      <c r="A68" s="3" t="s">
        <v>303</v>
      </c>
      <c r="B68" s="3" t="s">
        <v>78</v>
      </c>
      <c r="C68" s="3" t="s">
        <v>304</v>
      </c>
      <c r="D68" s="3" t="s">
        <v>31</v>
      </c>
      <c r="E68" s="4">
        <v>46341</v>
      </c>
      <c r="F68" s="4">
        <v>46341</v>
      </c>
      <c r="G68" s="5">
        <f t="shared" ca="1" si="3"/>
        <v>27</v>
      </c>
      <c r="H68" s="3">
        <v>3</v>
      </c>
      <c r="I68" s="3" t="s">
        <v>305</v>
      </c>
      <c r="J68" s="3" t="s">
        <v>306</v>
      </c>
      <c r="K68" s="6" t="s">
        <v>23</v>
      </c>
      <c r="L68" s="6" t="s">
        <v>22</v>
      </c>
      <c r="M68" s="6" t="s">
        <v>26</v>
      </c>
      <c r="N68" s="6"/>
      <c r="O68" s="7" t="str">
        <f t="shared" si="1"/>
        <v>Benigno, Reis, Hofmann</v>
      </c>
      <c r="P68" s="15" t="s">
        <v>27</v>
      </c>
    </row>
    <row r="69" spans="1:16" ht="48" customHeight="1" x14ac:dyDescent="0.2">
      <c r="A69" s="3" t="s">
        <v>307</v>
      </c>
      <c r="B69" s="3" t="s">
        <v>308</v>
      </c>
      <c r="C69" s="3" t="s">
        <v>309</v>
      </c>
      <c r="D69" s="3" t="s">
        <v>31</v>
      </c>
      <c r="E69" s="4">
        <v>46341</v>
      </c>
      <c r="F69" s="4">
        <v>46341</v>
      </c>
      <c r="G69" s="5">
        <f t="shared" ca="1" si="3"/>
        <v>27</v>
      </c>
      <c r="H69" s="3">
        <v>3</v>
      </c>
      <c r="I69" s="3" t="s">
        <v>310</v>
      </c>
      <c r="J69" s="3"/>
      <c r="K69" s="6" t="s">
        <v>23</v>
      </c>
      <c r="L69" s="6" t="s">
        <v>22</v>
      </c>
      <c r="M69" s="6" t="s">
        <v>26</v>
      </c>
      <c r="N69" s="6"/>
      <c r="O69" s="7" t="str">
        <f t="shared" ref="O69:O132" si="4">_xlfn.TEXTJOIN(", ",TRUE(),K69:N69)</f>
        <v>Benigno, Reis, Hofmann</v>
      </c>
      <c r="P69" s="15" t="s">
        <v>27</v>
      </c>
    </row>
    <row r="70" spans="1:16" ht="48" customHeight="1" x14ac:dyDescent="0.2">
      <c r="A70" s="3" t="s">
        <v>311</v>
      </c>
      <c r="B70" s="3" t="s">
        <v>312</v>
      </c>
      <c r="C70" s="3" t="s">
        <v>313</v>
      </c>
      <c r="D70" s="3" t="s">
        <v>31</v>
      </c>
      <c r="E70" s="4">
        <v>46341</v>
      </c>
      <c r="F70" s="4">
        <v>46341</v>
      </c>
      <c r="G70" s="5">
        <f t="shared" ca="1" si="3"/>
        <v>27</v>
      </c>
      <c r="H70" s="3">
        <v>3</v>
      </c>
      <c r="I70" s="3" t="s">
        <v>52</v>
      </c>
      <c r="J70" s="3"/>
      <c r="K70" s="6" t="s">
        <v>23</v>
      </c>
      <c r="L70" s="6" t="s">
        <v>22</v>
      </c>
      <c r="M70" s="6" t="s">
        <v>26</v>
      </c>
      <c r="N70" s="6"/>
      <c r="O70" s="7" t="str">
        <f t="shared" si="4"/>
        <v>Benigno, Reis, Hofmann</v>
      </c>
      <c r="P70" s="15" t="s">
        <v>27</v>
      </c>
    </row>
    <row r="71" spans="1:16" ht="48" customHeight="1" x14ac:dyDescent="0.2">
      <c r="A71" s="3" t="s">
        <v>314</v>
      </c>
      <c r="B71" s="3" t="s">
        <v>315</v>
      </c>
      <c r="C71" s="3" t="s">
        <v>316</v>
      </c>
      <c r="D71" s="3" t="s">
        <v>31</v>
      </c>
      <c r="E71" s="4">
        <v>46341</v>
      </c>
      <c r="F71" s="4">
        <v>46341</v>
      </c>
      <c r="G71" s="5">
        <f t="shared" ca="1" si="3"/>
        <v>27</v>
      </c>
      <c r="H71" s="3">
        <v>3</v>
      </c>
      <c r="I71" s="3" t="s">
        <v>317</v>
      </c>
      <c r="J71" s="3" t="s">
        <v>318</v>
      </c>
      <c r="K71" s="6" t="s">
        <v>23</v>
      </c>
      <c r="L71" s="6" t="s">
        <v>22</v>
      </c>
      <c r="M71" s="6" t="s">
        <v>26</v>
      </c>
      <c r="N71" s="6"/>
      <c r="O71" s="7" t="str">
        <f t="shared" si="4"/>
        <v>Benigno, Reis, Hofmann</v>
      </c>
      <c r="P71" s="15" t="s">
        <v>27</v>
      </c>
    </row>
    <row r="72" spans="1:16" ht="48" customHeight="1" x14ac:dyDescent="0.2">
      <c r="A72" s="3" t="s">
        <v>320</v>
      </c>
      <c r="B72" s="3" t="s">
        <v>321</v>
      </c>
      <c r="C72" s="3" t="s">
        <v>322</v>
      </c>
      <c r="D72" s="3" t="s">
        <v>31</v>
      </c>
      <c r="E72" s="4">
        <v>46341</v>
      </c>
      <c r="F72" s="4">
        <v>46341</v>
      </c>
      <c r="G72" s="5">
        <f t="shared" ca="1" si="3"/>
        <v>27</v>
      </c>
      <c r="H72" s="3" t="s">
        <v>51</v>
      </c>
      <c r="I72" s="3" t="s">
        <v>323</v>
      </c>
      <c r="J72" s="3" t="s">
        <v>324</v>
      </c>
      <c r="K72" s="6" t="s">
        <v>23</v>
      </c>
      <c r="L72" s="6" t="s">
        <v>22</v>
      </c>
      <c r="M72" s="6" t="s">
        <v>26</v>
      </c>
      <c r="N72" s="6"/>
      <c r="O72" s="7" t="str">
        <f t="shared" si="4"/>
        <v>Benigno, Reis, Hofmann</v>
      </c>
      <c r="P72" s="15" t="s">
        <v>27</v>
      </c>
    </row>
    <row r="73" spans="1:16" ht="48" customHeight="1" x14ac:dyDescent="0.2">
      <c r="A73" s="3" t="s">
        <v>325</v>
      </c>
      <c r="B73" s="3" t="s">
        <v>326</v>
      </c>
      <c r="C73" s="3" t="s">
        <v>327</v>
      </c>
      <c r="D73" s="3" t="s">
        <v>44</v>
      </c>
      <c r="E73" s="4">
        <v>46341</v>
      </c>
      <c r="F73" s="4">
        <v>46341</v>
      </c>
      <c r="G73" s="5">
        <f t="shared" ca="1" si="3"/>
        <v>27</v>
      </c>
      <c r="H73" s="3">
        <v>3</v>
      </c>
      <c r="I73" s="3" t="s">
        <v>328</v>
      </c>
      <c r="J73" s="3"/>
      <c r="K73" s="6" t="s">
        <v>23</v>
      </c>
      <c r="L73" s="6" t="s">
        <v>22</v>
      </c>
      <c r="M73" s="6" t="s">
        <v>47</v>
      </c>
      <c r="N73" s="6"/>
      <c r="O73" s="7" t="str">
        <f t="shared" si="4"/>
        <v>Benigno, Reis, Chaudhary</v>
      </c>
      <c r="P73" s="15" t="s">
        <v>27</v>
      </c>
    </row>
    <row r="74" spans="1:16" ht="48" customHeight="1" x14ac:dyDescent="0.2">
      <c r="A74" s="3" t="s">
        <v>329</v>
      </c>
      <c r="B74" s="3" t="s">
        <v>42</v>
      </c>
      <c r="C74" s="3" t="s">
        <v>259</v>
      </c>
      <c r="D74" s="3" t="s">
        <v>44</v>
      </c>
      <c r="E74" s="4">
        <v>46341</v>
      </c>
      <c r="F74" s="4">
        <v>46341</v>
      </c>
      <c r="G74" s="5">
        <f t="shared" ca="1" si="3"/>
        <v>27</v>
      </c>
      <c r="H74" s="3">
        <v>3</v>
      </c>
      <c r="I74" s="3" t="s">
        <v>330</v>
      </c>
      <c r="J74" s="3"/>
      <c r="K74" s="6" t="s">
        <v>23</v>
      </c>
      <c r="L74" s="6" t="s">
        <v>22</v>
      </c>
      <c r="M74" s="6" t="s">
        <v>47</v>
      </c>
      <c r="N74" s="6"/>
      <c r="O74" s="7" t="str">
        <f t="shared" si="4"/>
        <v>Benigno, Reis, Chaudhary</v>
      </c>
      <c r="P74" s="15" t="s">
        <v>34</v>
      </c>
    </row>
    <row r="75" spans="1:16" ht="48" customHeight="1" x14ac:dyDescent="0.2">
      <c r="A75" s="3" t="s">
        <v>331</v>
      </c>
      <c r="B75" s="3" t="s">
        <v>332</v>
      </c>
      <c r="C75" s="3" t="s">
        <v>216</v>
      </c>
      <c r="D75" s="3" t="s">
        <v>38</v>
      </c>
      <c r="E75" s="4">
        <v>46342</v>
      </c>
      <c r="F75" s="4">
        <v>46342</v>
      </c>
      <c r="G75" s="5">
        <f t="shared" ca="1" si="3"/>
        <v>28</v>
      </c>
      <c r="H75" s="3" t="s">
        <v>333</v>
      </c>
      <c r="I75" s="3" t="s">
        <v>334</v>
      </c>
      <c r="J75" s="3" t="s">
        <v>335</v>
      </c>
      <c r="K75" s="6" t="s">
        <v>23</v>
      </c>
      <c r="L75" s="6" t="s">
        <v>22</v>
      </c>
      <c r="M75" s="6" t="s">
        <v>26</v>
      </c>
      <c r="N75" s="6"/>
      <c r="O75" s="7" t="str">
        <f t="shared" si="4"/>
        <v>Benigno, Reis, Hofmann</v>
      </c>
      <c r="P75" s="15" t="s">
        <v>27</v>
      </c>
    </row>
    <row r="76" spans="1:16" ht="48" customHeight="1" x14ac:dyDescent="0.2">
      <c r="A76" s="3" t="s">
        <v>336</v>
      </c>
      <c r="B76" s="3" t="s">
        <v>42</v>
      </c>
      <c r="C76" s="3" t="s">
        <v>211</v>
      </c>
      <c r="D76" s="3" t="s">
        <v>44</v>
      </c>
      <c r="E76" s="4">
        <v>46335</v>
      </c>
      <c r="F76" s="4">
        <v>46342</v>
      </c>
      <c r="G76" s="5">
        <f t="shared" ca="1" si="3"/>
        <v>28</v>
      </c>
      <c r="H76" s="3" t="s">
        <v>51</v>
      </c>
      <c r="I76" s="3" t="s">
        <v>337</v>
      </c>
      <c r="J76" s="3" t="s">
        <v>338</v>
      </c>
      <c r="K76" s="6" t="s">
        <v>23</v>
      </c>
      <c r="L76" s="6" t="s">
        <v>22</v>
      </c>
      <c r="M76" s="6" t="s">
        <v>47</v>
      </c>
      <c r="N76" s="6"/>
      <c r="O76" s="7" t="str">
        <f t="shared" si="4"/>
        <v>Benigno, Reis, Chaudhary</v>
      </c>
      <c r="P76" s="15" t="s">
        <v>34</v>
      </c>
    </row>
    <row r="77" spans="1:16" ht="48" customHeight="1" x14ac:dyDescent="0.2">
      <c r="A77" s="3" t="s">
        <v>339</v>
      </c>
      <c r="B77" s="3" t="s">
        <v>340</v>
      </c>
      <c r="C77" s="3" t="s">
        <v>341</v>
      </c>
      <c r="D77" s="3" t="s">
        <v>31</v>
      </c>
      <c r="E77" s="4">
        <v>46342</v>
      </c>
      <c r="F77" s="4">
        <v>46342</v>
      </c>
      <c r="G77" s="5">
        <f t="shared" ca="1" si="3"/>
        <v>28</v>
      </c>
      <c r="H77" s="3" t="s">
        <v>342</v>
      </c>
      <c r="I77" s="3" t="s">
        <v>343</v>
      </c>
      <c r="J77" s="3" t="s">
        <v>344</v>
      </c>
      <c r="K77" s="6" t="s">
        <v>23</v>
      </c>
      <c r="L77" s="6" t="s">
        <v>22</v>
      </c>
      <c r="M77" s="6" t="s">
        <v>26</v>
      </c>
      <c r="N77" s="6"/>
      <c r="O77" s="7" t="str">
        <f t="shared" si="4"/>
        <v>Benigno, Reis, Hofmann</v>
      </c>
      <c r="P77" s="15" t="s">
        <v>27</v>
      </c>
    </row>
    <row r="78" spans="1:16" ht="48" customHeight="1" x14ac:dyDescent="0.2">
      <c r="A78" s="3" t="s">
        <v>345</v>
      </c>
      <c r="B78" s="3" t="s">
        <v>340</v>
      </c>
      <c r="C78" s="3" t="s">
        <v>346</v>
      </c>
      <c r="D78" s="3" t="s">
        <v>31</v>
      </c>
      <c r="E78" s="4">
        <v>46342</v>
      </c>
      <c r="F78" s="4">
        <v>46342</v>
      </c>
      <c r="G78" s="5">
        <f t="shared" ca="1" si="3"/>
        <v>28</v>
      </c>
      <c r="H78" s="3">
        <v>3</v>
      </c>
      <c r="I78" s="3" t="s">
        <v>347</v>
      </c>
      <c r="J78" s="3"/>
      <c r="K78" s="6" t="s">
        <v>23</v>
      </c>
      <c r="L78" s="6" t="s">
        <v>22</v>
      </c>
      <c r="M78" s="6" t="s">
        <v>26</v>
      </c>
      <c r="N78" s="6"/>
      <c r="O78" s="7" t="str">
        <f t="shared" si="4"/>
        <v>Benigno, Reis, Hofmann</v>
      </c>
      <c r="P78" s="15" t="s">
        <v>27</v>
      </c>
    </row>
    <row r="79" spans="1:16" ht="48" customHeight="1" x14ac:dyDescent="0.2">
      <c r="A79" s="3" t="s">
        <v>348</v>
      </c>
      <c r="B79" s="3" t="s">
        <v>349</v>
      </c>
      <c r="C79" s="3" t="s">
        <v>350</v>
      </c>
      <c r="D79" s="3" t="s">
        <v>31</v>
      </c>
      <c r="E79" s="4">
        <v>46342</v>
      </c>
      <c r="F79" s="4">
        <v>46342</v>
      </c>
      <c r="G79" s="5">
        <f t="shared" ca="1" si="3"/>
        <v>28</v>
      </c>
      <c r="H79" s="3">
        <v>3</v>
      </c>
      <c r="I79" s="3" t="s">
        <v>351</v>
      </c>
      <c r="J79" s="3" t="s">
        <v>352</v>
      </c>
      <c r="K79" s="6" t="s">
        <v>23</v>
      </c>
      <c r="L79" s="6" t="s">
        <v>22</v>
      </c>
      <c r="M79" s="6" t="s">
        <v>26</v>
      </c>
      <c r="N79" s="6"/>
      <c r="O79" s="7" t="str">
        <f t="shared" si="4"/>
        <v>Benigno, Reis, Hofmann</v>
      </c>
      <c r="P79" s="15" t="s">
        <v>27</v>
      </c>
    </row>
    <row r="80" spans="1:16" ht="48" customHeight="1" x14ac:dyDescent="0.2">
      <c r="A80" s="3" t="s">
        <v>353</v>
      </c>
      <c r="B80" s="3" t="s">
        <v>354</v>
      </c>
      <c r="C80" s="3" t="s">
        <v>355</v>
      </c>
      <c r="D80" s="3" t="s">
        <v>44</v>
      </c>
      <c r="E80" s="4">
        <v>46342</v>
      </c>
      <c r="F80" s="4">
        <v>46342</v>
      </c>
      <c r="G80" s="5">
        <f t="shared" ca="1" si="3"/>
        <v>28</v>
      </c>
      <c r="H80" s="3" t="s">
        <v>51</v>
      </c>
      <c r="I80" s="3" t="s">
        <v>356</v>
      </c>
      <c r="J80" s="3"/>
      <c r="K80" s="6" t="s">
        <v>23</v>
      </c>
      <c r="L80" s="6" t="s">
        <v>22</v>
      </c>
      <c r="M80" s="6" t="s">
        <v>47</v>
      </c>
      <c r="N80" s="6"/>
      <c r="O80" s="7" t="str">
        <f t="shared" si="4"/>
        <v>Benigno, Reis, Chaudhary</v>
      </c>
      <c r="P80" s="15" t="s">
        <v>34</v>
      </c>
    </row>
    <row r="81" spans="1:16" ht="48" customHeight="1" x14ac:dyDescent="0.2">
      <c r="A81" s="3" t="s">
        <v>357</v>
      </c>
      <c r="B81" s="3" t="s">
        <v>358</v>
      </c>
      <c r="C81" s="3" t="s">
        <v>147</v>
      </c>
      <c r="D81" s="3" t="s">
        <v>31</v>
      </c>
      <c r="E81" s="4">
        <v>46342</v>
      </c>
      <c r="F81" s="4">
        <v>46342</v>
      </c>
      <c r="G81" s="5">
        <f t="shared" ca="1" si="3"/>
        <v>28</v>
      </c>
      <c r="H81" s="3">
        <v>3</v>
      </c>
      <c r="I81" s="3" t="s">
        <v>359</v>
      </c>
      <c r="J81" s="3"/>
      <c r="K81" s="6" t="s">
        <v>23</v>
      </c>
      <c r="L81" s="6" t="s">
        <v>22</v>
      </c>
      <c r="M81" s="6" t="s">
        <v>26</v>
      </c>
      <c r="N81" s="6"/>
      <c r="O81" s="7" t="str">
        <f t="shared" si="4"/>
        <v>Benigno, Reis, Hofmann</v>
      </c>
      <c r="P81" s="15" t="s">
        <v>27</v>
      </c>
    </row>
    <row r="82" spans="1:16" ht="48" customHeight="1" x14ac:dyDescent="0.2">
      <c r="A82" s="3" t="s">
        <v>360</v>
      </c>
      <c r="B82" s="3" t="s">
        <v>361</v>
      </c>
      <c r="C82" s="3" t="s">
        <v>362</v>
      </c>
      <c r="D82" s="3" t="s">
        <v>31</v>
      </c>
      <c r="E82" s="4">
        <v>46342</v>
      </c>
      <c r="F82" s="4">
        <v>46342</v>
      </c>
      <c r="G82" s="5">
        <f t="shared" ca="1" si="3"/>
        <v>28</v>
      </c>
      <c r="H82" s="3">
        <v>5</v>
      </c>
      <c r="I82" s="3" t="s">
        <v>363</v>
      </c>
      <c r="J82" s="3" t="s">
        <v>364</v>
      </c>
      <c r="K82" s="6" t="s">
        <v>23</v>
      </c>
      <c r="L82" s="6" t="s">
        <v>22</v>
      </c>
      <c r="M82" s="6" t="s">
        <v>26</v>
      </c>
      <c r="N82" s="6" t="s">
        <v>47</v>
      </c>
      <c r="O82" s="7" t="str">
        <f t="shared" si="4"/>
        <v>Benigno, Reis, Hofmann, Chaudhary</v>
      </c>
      <c r="P82" s="15" t="s">
        <v>27</v>
      </c>
    </row>
    <row r="83" spans="1:16" ht="48" customHeight="1" x14ac:dyDescent="0.2">
      <c r="A83" s="3" t="s">
        <v>365</v>
      </c>
      <c r="B83" s="3" t="s">
        <v>366</v>
      </c>
      <c r="C83" s="3" t="s">
        <v>99</v>
      </c>
      <c r="D83" s="3" t="s">
        <v>44</v>
      </c>
      <c r="E83" s="4">
        <v>46343</v>
      </c>
      <c r="F83" s="4">
        <v>46343</v>
      </c>
      <c r="G83" s="5">
        <f t="shared" ca="1" si="3"/>
        <v>29</v>
      </c>
      <c r="H83" s="3" t="s">
        <v>51</v>
      </c>
      <c r="I83" s="3" t="s">
        <v>367</v>
      </c>
      <c r="J83" s="3"/>
      <c r="K83" s="6" t="s">
        <v>23</v>
      </c>
      <c r="L83" s="6" t="s">
        <v>22</v>
      </c>
      <c r="M83" s="6" t="s">
        <v>47</v>
      </c>
      <c r="N83" s="6"/>
      <c r="O83" s="7" t="str">
        <f t="shared" si="4"/>
        <v>Benigno, Reis, Chaudhary</v>
      </c>
      <c r="P83" s="15" t="s">
        <v>27</v>
      </c>
    </row>
    <row r="84" spans="1:16" ht="48" customHeight="1" x14ac:dyDescent="0.2">
      <c r="A84" s="3" t="s">
        <v>368</v>
      </c>
      <c r="B84" s="3" t="s">
        <v>369</v>
      </c>
      <c r="C84" s="3" t="s">
        <v>370</v>
      </c>
      <c r="D84" s="3" t="s">
        <v>44</v>
      </c>
      <c r="E84" s="4">
        <v>46343</v>
      </c>
      <c r="F84" s="4">
        <v>46343</v>
      </c>
      <c r="G84" s="5">
        <f t="shared" ca="1" si="3"/>
        <v>29</v>
      </c>
      <c r="H84" s="3">
        <v>3</v>
      </c>
      <c r="I84" s="3" t="s">
        <v>236</v>
      </c>
      <c r="J84" s="3"/>
      <c r="K84" s="6" t="s">
        <v>23</v>
      </c>
      <c r="L84" s="6" t="s">
        <v>22</v>
      </c>
      <c r="M84" s="6" t="s">
        <v>47</v>
      </c>
      <c r="N84" s="6"/>
      <c r="O84" s="7" t="str">
        <f t="shared" si="4"/>
        <v>Benigno, Reis, Chaudhary</v>
      </c>
      <c r="P84" s="15" t="s">
        <v>27</v>
      </c>
    </row>
    <row r="85" spans="1:16" ht="48" customHeight="1" x14ac:dyDescent="0.2">
      <c r="A85" s="3" t="s">
        <v>371</v>
      </c>
      <c r="B85" s="3" t="s">
        <v>372</v>
      </c>
      <c r="C85" s="3" t="s">
        <v>99</v>
      </c>
      <c r="D85" s="3" t="s">
        <v>31</v>
      </c>
      <c r="E85" s="4">
        <v>46343</v>
      </c>
      <c r="F85" s="4">
        <v>46343</v>
      </c>
      <c r="G85" s="5">
        <f t="shared" ca="1" si="3"/>
        <v>29</v>
      </c>
      <c r="H85" s="3" t="s">
        <v>51</v>
      </c>
      <c r="I85" s="3" t="s">
        <v>373</v>
      </c>
      <c r="J85" s="3"/>
      <c r="K85" s="6" t="s">
        <v>23</v>
      </c>
      <c r="L85" s="6" t="s">
        <v>22</v>
      </c>
      <c r="M85" s="6" t="s">
        <v>26</v>
      </c>
      <c r="N85" s="6"/>
      <c r="O85" s="7" t="str">
        <f t="shared" si="4"/>
        <v>Benigno, Reis, Hofmann</v>
      </c>
      <c r="P85" s="15" t="s">
        <v>27</v>
      </c>
    </row>
    <row r="86" spans="1:16" ht="48" customHeight="1" x14ac:dyDescent="0.2">
      <c r="A86" s="3" t="s">
        <v>374</v>
      </c>
      <c r="B86" s="3" t="s">
        <v>375</v>
      </c>
      <c r="C86" s="3" t="s">
        <v>83</v>
      </c>
      <c r="D86" s="3" t="s">
        <v>18</v>
      </c>
      <c r="E86" s="4">
        <v>46343</v>
      </c>
      <c r="F86" s="4">
        <v>46343</v>
      </c>
      <c r="G86" s="5">
        <f t="shared" ca="1" si="3"/>
        <v>29</v>
      </c>
      <c r="H86" s="3" t="s">
        <v>51</v>
      </c>
      <c r="I86" s="3" t="s">
        <v>376</v>
      </c>
      <c r="J86" s="3"/>
      <c r="K86" s="6" t="s">
        <v>23</v>
      </c>
      <c r="L86" s="6" t="s">
        <v>22</v>
      </c>
      <c r="M86" s="6" t="s">
        <v>26</v>
      </c>
      <c r="N86" s="6"/>
      <c r="O86" s="7" t="str">
        <f t="shared" si="4"/>
        <v>Benigno, Reis, Hofmann</v>
      </c>
      <c r="P86" s="15" t="s">
        <v>34</v>
      </c>
    </row>
    <row r="87" spans="1:16" ht="48" customHeight="1" x14ac:dyDescent="0.2">
      <c r="A87" s="3" t="s">
        <v>377</v>
      </c>
      <c r="B87" s="3" t="s">
        <v>378</v>
      </c>
      <c r="C87" s="3" t="s">
        <v>170</v>
      </c>
      <c r="D87" s="3" t="s">
        <v>31</v>
      </c>
      <c r="E87" s="4">
        <v>46344</v>
      </c>
      <c r="F87" s="4">
        <v>46344</v>
      </c>
      <c r="G87" s="5">
        <f t="shared" ca="1" si="3"/>
        <v>30</v>
      </c>
      <c r="H87" s="3">
        <v>3</v>
      </c>
      <c r="I87" s="3" t="s">
        <v>379</v>
      </c>
      <c r="J87" s="3"/>
      <c r="K87" s="6" t="s">
        <v>23</v>
      </c>
      <c r="L87" s="6" t="s">
        <v>22</v>
      </c>
      <c r="M87" s="6" t="s">
        <v>26</v>
      </c>
      <c r="N87" s="6"/>
      <c r="O87" s="7" t="str">
        <f t="shared" si="4"/>
        <v>Benigno, Reis, Hofmann</v>
      </c>
      <c r="P87" s="15" t="s">
        <v>27</v>
      </c>
    </row>
    <row r="88" spans="1:16" ht="48" customHeight="1" x14ac:dyDescent="0.2">
      <c r="A88" s="3" t="s">
        <v>193</v>
      </c>
      <c r="B88" s="3" t="s">
        <v>380</v>
      </c>
      <c r="C88" s="3" t="s">
        <v>195</v>
      </c>
      <c r="D88" s="3" t="s">
        <v>44</v>
      </c>
      <c r="E88" s="4">
        <v>46344</v>
      </c>
      <c r="F88" s="4">
        <v>46344</v>
      </c>
      <c r="G88" s="5">
        <f t="shared" ca="1" si="3"/>
        <v>30</v>
      </c>
      <c r="H88" s="3">
        <v>3</v>
      </c>
      <c r="I88" s="3" t="s">
        <v>381</v>
      </c>
      <c r="J88" s="3"/>
      <c r="K88" s="6" t="s">
        <v>23</v>
      </c>
      <c r="L88" s="6" t="s">
        <v>22</v>
      </c>
      <c r="M88" s="6" t="s">
        <v>47</v>
      </c>
      <c r="N88" s="6"/>
      <c r="O88" s="7" t="str">
        <f t="shared" si="4"/>
        <v>Benigno, Reis, Chaudhary</v>
      </c>
      <c r="P88" s="15" t="s">
        <v>27</v>
      </c>
    </row>
    <row r="89" spans="1:16" ht="48" customHeight="1" x14ac:dyDescent="0.2">
      <c r="A89" s="3" t="s">
        <v>382</v>
      </c>
      <c r="B89" s="3" t="s">
        <v>279</v>
      </c>
      <c r="C89" s="3" t="s">
        <v>383</v>
      </c>
      <c r="D89" s="3" t="s">
        <v>38</v>
      </c>
      <c r="E89" s="4">
        <v>46344</v>
      </c>
      <c r="F89" s="4">
        <v>46344</v>
      </c>
      <c r="G89" s="5">
        <f t="shared" ca="1" si="3"/>
        <v>30</v>
      </c>
      <c r="H89" s="3" t="s">
        <v>51</v>
      </c>
      <c r="I89" s="3" t="s">
        <v>384</v>
      </c>
      <c r="J89" s="3"/>
      <c r="K89" s="6" t="s">
        <v>23</v>
      </c>
      <c r="L89" s="6" t="s">
        <v>22</v>
      </c>
      <c r="M89" s="6" t="s">
        <v>26</v>
      </c>
      <c r="N89" s="6"/>
      <c r="O89" s="7" t="str">
        <f t="shared" si="4"/>
        <v>Benigno, Reis, Hofmann</v>
      </c>
      <c r="P89" s="15" t="s">
        <v>27</v>
      </c>
    </row>
    <row r="90" spans="1:16" ht="48" customHeight="1" x14ac:dyDescent="0.2">
      <c r="A90" s="3" t="s">
        <v>385</v>
      </c>
      <c r="B90" s="3" t="s">
        <v>386</v>
      </c>
      <c r="C90" s="3" t="s">
        <v>387</v>
      </c>
      <c r="D90" s="3" t="s">
        <v>44</v>
      </c>
      <c r="E90" s="4">
        <v>46344</v>
      </c>
      <c r="F90" s="4">
        <v>46344</v>
      </c>
      <c r="G90" s="5">
        <f t="shared" ca="1" si="3"/>
        <v>30</v>
      </c>
      <c r="H90" s="3">
        <v>3</v>
      </c>
      <c r="I90" s="3" t="s">
        <v>388</v>
      </c>
      <c r="J90" s="3"/>
      <c r="K90" s="6" t="s">
        <v>23</v>
      </c>
      <c r="L90" s="6" t="s">
        <v>22</v>
      </c>
      <c r="M90" s="6" t="s">
        <v>47</v>
      </c>
      <c r="N90" s="6"/>
      <c r="O90" s="7" t="str">
        <f t="shared" si="4"/>
        <v>Benigno, Reis, Chaudhary</v>
      </c>
      <c r="P90" s="15" t="s">
        <v>27</v>
      </c>
    </row>
    <row r="91" spans="1:16" ht="48" customHeight="1" x14ac:dyDescent="0.2">
      <c r="A91" s="3" t="s">
        <v>389</v>
      </c>
      <c r="B91" s="3" t="s">
        <v>390</v>
      </c>
      <c r="C91" s="3" t="s">
        <v>391</v>
      </c>
      <c r="D91" s="3" t="s">
        <v>134</v>
      </c>
      <c r="E91" s="4">
        <v>46344</v>
      </c>
      <c r="F91" s="4">
        <v>46344</v>
      </c>
      <c r="G91" s="5">
        <f t="shared" ca="1" si="3"/>
        <v>30</v>
      </c>
      <c r="H91" s="3">
        <v>3</v>
      </c>
      <c r="I91" s="3" t="s">
        <v>392</v>
      </c>
      <c r="J91" s="3" t="s">
        <v>300</v>
      </c>
      <c r="K91" s="6" t="s">
        <v>23</v>
      </c>
      <c r="L91" s="6" t="s">
        <v>22</v>
      </c>
      <c r="M91" s="6" t="s">
        <v>26</v>
      </c>
      <c r="N91" s="6"/>
      <c r="O91" s="7" t="str">
        <f t="shared" si="4"/>
        <v>Benigno, Reis, Hofmann</v>
      </c>
      <c r="P91" s="15" t="s">
        <v>27</v>
      </c>
    </row>
    <row r="92" spans="1:16" ht="48" customHeight="1" x14ac:dyDescent="0.2">
      <c r="A92" s="3" t="s">
        <v>385</v>
      </c>
      <c r="B92" s="3" t="s">
        <v>393</v>
      </c>
      <c r="C92" s="3" t="s">
        <v>387</v>
      </c>
      <c r="D92" s="3" t="s">
        <v>31</v>
      </c>
      <c r="E92" s="4">
        <v>46344</v>
      </c>
      <c r="F92" s="4">
        <v>46344</v>
      </c>
      <c r="G92" s="5">
        <f t="shared" ca="1" si="3"/>
        <v>30</v>
      </c>
      <c r="H92" s="3">
        <v>3</v>
      </c>
      <c r="I92" s="3" t="s">
        <v>394</v>
      </c>
      <c r="J92" s="3"/>
      <c r="K92" s="6" t="s">
        <v>23</v>
      </c>
      <c r="L92" s="6" t="s">
        <v>22</v>
      </c>
      <c r="M92" s="6" t="s">
        <v>26</v>
      </c>
      <c r="N92" s="6"/>
      <c r="O92" s="7" t="str">
        <f t="shared" si="4"/>
        <v>Benigno, Reis, Hofmann</v>
      </c>
      <c r="P92" s="15" t="s">
        <v>27</v>
      </c>
    </row>
    <row r="93" spans="1:16" ht="48" customHeight="1" x14ac:dyDescent="0.2">
      <c r="A93" s="3" t="s">
        <v>395</v>
      </c>
      <c r="B93" s="3" t="s">
        <v>42</v>
      </c>
      <c r="C93" s="3" t="s">
        <v>99</v>
      </c>
      <c r="D93" s="3" t="s">
        <v>44</v>
      </c>
      <c r="E93" s="4">
        <v>46339</v>
      </c>
      <c r="F93" s="4">
        <v>46346</v>
      </c>
      <c r="G93" s="5">
        <f t="shared" ca="1" si="3"/>
        <v>32</v>
      </c>
      <c r="H93" s="3" t="s">
        <v>51</v>
      </c>
      <c r="I93" s="3" t="s">
        <v>396</v>
      </c>
      <c r="J93" s="3" t="s">
        <v>397</v>
      </c>
      <c r="K93" s="6" t="s">
        <v>23</v>
      </c>
      <c r="L93" s="6" t="s">
        <v>22</v>
      </c>
      <c r="M93" s="6" t="s">
        <v>47</v>
      </c>
      <c r="N93" s="6"/>
      <c r="O93" s="7" t="str">
        <f t="shared" si="4"/>
        <v>Benigno, Reis, Chaudhary</v>
      </c>
      <c r="P93" s="15" t="s">
        <v>27</v>
      </c>
    </row>
    <row r="94" spans="1:16" ht="48" customHeight="1" x14ac:dyDescent="0.2">
      <c r="A94" s="3" t="s">
        <v>398</v>
      </c>
      <c r="B94" s="3" t="s">
        <v>399</v>
      </c>
      <c r="C94" s="3" t="s">
        <v>170</v>
      </c>
      <c r="D94" s="3" t="s">
        <v>44</v>
      </c>
      <c r="E94" s="4">
        <v>46346</v>
      </c>
      <c r="F94" s="4">
        <v>46346</v>
      </c>
      <c r="G94" s="5">
        <f t="shared" ref="G94:G119" ca="1" si="5">IF(F94&lt;&gt;"",F94-TODAY(),IF(E94&lt;&gt;"",E94-TODAY(),""))</f>
        <v>32</v>
      </c>
      <c r="H94" s="3" t="s">
        <v>400</v>
      </c>
      <c r="I94" s="3" t="s">
        <v>401</v>
      </c>
      <c r="J94" s="3" t="s">
        <v>402</v>
      </c>
      <c r="K94" s="6" t="s">
        <v>23</v>
      </c>
      <c r="L94" s="6" t="s">
        <v>22</v>
      </c>
      <c r="M94" s="6" t="s">
        <v>47</v>
      </c>
      <c r="N94" s="6"/>
      <c r="O94" s="7" t="str">
        <f t="shared" si="4"/>
        <v>Benigno, Reis, Chaudhary</v>
      </c>
      <c r="P94" s="15" t="s">
        <v>34</v>
      </c>
    </row>
    <row r="95" spans="1:16" ht="48" customHeight="1" x14ac:dyDescent="0.2">
      <c r="A95" s="3" t="s">
        <v>403</v>
      </c>
      <c r="B95" s="3" t="s">
        <v>404</v>
      </c>
      <c r="C95" s="3" t="s">
        <v>405</v>
      </c>
      <c r="D95" s="3" t="s">
        <v>44</v>
      </c>
      <c r="E95" s="4">
        <v>46346</v>
      </c>
      <c r="F95" s="4">
        <v>46346</v>
      </c>
      <c r="G95" s="5">
        <f t="shared" ca="1" si="5"/>
        <v>32</v>
      </c>
      <c r="H95" s="3">
        <v>3</v>
      </c>
      <c r="I95" s="3" t="s">
        <v>406</v>
      </c>
      <c r="J95" s="3"/>
      <c r="K95" s="6" t="s">
        <v>23</v>
      </c>
      <c r="L95" s="6" t="s">
        <v>22</v>
      </c>
      <c r="M95" s="6" t="s">
        <v>47</v>
      </c>
      <c r="N95" s="6"/>
      <c r="O95" s="7" t="str">
        <f t="shared" si="4"/>
        <v>Benigno, Reis, Chaudhary</v>
      </c>
      <c r="P95" s="15" t="s">
        <v>27</v>
      </c>
    </row>
    <row r="96" spans="1:16" ht="48" customHeight="1" x14ac:dyDescent="0.2">
      <c r="A96" s="3" t="s">
        <v>407</v>
      </c>
      <c r="B96" s="3" t="s">
        <v>42</v>
      </c>
      <c r="C96" s="3" t="s">
        <v>408</v>
      </c>
      <c r="D96" s="3" t="s">
        <v>44</v>
      </c>
      <c r="E96" s="4">
        <v>46346</v>
      </c>
      <c r="F96" s="4">
        <v>46346</v>
      </c>
      <c r="G96" s="5">
        <f t="shared" ca="1" si="5"/>
        <v>32</v>
      </c>
      <c r="H96" s="3" t="s">
        <v>409</v>
      </c>
      <c r="I96" s="3" t="s">
        <v>410</v>
      </c>
      <c r="J96" s="3" t="s">
        <v>411</v>
      </c>
      <c r="K96" s="6" t="s">
        <v>23</v>
      </c>
      <c r="L96" s="6" t="s">
        <v>22</v>
      </c>
      <c r="M96" s="6" t="s">
        <v>47</v>
      </c>
      <c r="N96" s="6"/>
      <c r="O96" s="7" t="str">
        <f t="shared" si="4"/>
        <v>Benigno, Reis, Chaudhary</v>
      </c>
      <c r="P96" s="15" t="s">
        <v>27</v>
      </c>
    </row>
    <row r="97" spans="1:16" ht="48" customHeight="1" x14ac:dyDescent="0.2">
      <c r="A97" s="3" t="s">
        <v>412</v>
      </c>
      <c r="B97" s="3" t="s">
        <v>413</v>
      </c>
      <c r="C97" s="3" t="s">
        <v>414</v>
      </c>
      <c r="D97" s="3" t="s">
        <v>38</v>
      </c>
      <c r="E97" s="4">
        <v>46507</v>
      </c>
      <c r="F97" s="4">
        <v>46346</v>
      </c>
      <c r="G97" s="5">
        <f t="shared" ca="1" si="5"/>
        <v>32</v>
      </c>
      <c r="H97" s="3">
        <v>3</v>
      </c>
      <c r="I97" s="3" t="s">
        <v>236</v>
      </c>
      <c r="J97" s="3" t="s">
        <v>415</v>
      </c>
      <c r="K97" s="6" t="s">
        <v>23</v>
      </c>
      <c r="L97" s="6" t="s">
        <v>22</v>
      </c>
      <c r="M97" s="6" t="s">
        <v>26</v>
      </c>
      <c r="N97" s="6"/>
      <c r="O97" s="7" t="str">
        <f t="shared" si="4"/>
        <v>Benigno, Reis, Hofmann</v>
      </c>
      <c r="P97" s="15" t="s">
        <v>27</v>
      </c>
    </row>
    <row r="98" spans="1:16" ht="48" customHeight="1" x14ac:dyDescent="0.2">
      <c r="A98" s="3" t="s">
        <v>416</v>
      </c>
      <c r="B98" s="3" t="s">
        <v>417</v>
      </c>
      <c r="C98" s="3" t="s">
        <v>418</v>
      </c>
      <c r="D98" s="3" t="s">
        <v>44</v>
      </c>
      <c r="E98" s="4">
        <v>46346</v>
      </c>
      <c r="F98" s="4">
        <v>46346</v>
      </c>
      <c r="G98" s="5">
        <f t="shared" ca="1" si="5"/>
        <v>32</v>
      </c>
      <c r="H98" s="3">
        <v>3</v>
      </c>
      <c r="I98" s="3" t="s">
        <v>419</v>
      </c>
      <c r="J98" s="3"/>
      <c r="K98" s="6" t="s">
        <v>23</v>
      </c>
      <c r="L98" s="6" t="s">
        <v>22</v>
      </c>
      <c r="M98" s="6" t="s">
        <v>47</v>
      </c>
      <c r="N98" s="6"/>
      <c r="O98" s="7" t="str">
        <f t="shared" si="4"/>
        <v>Benigno, Reis, Chaudhary</v>
      </c>
      <c r="P98" s="15" t="s">
        <v>27</v>
      </c>
    </row>
    <row r="99" spans="1:16" ht="48" customHeight="1" x14ac:dyDescent="0.2">
      <c r="A99" s="3" t="s">
        <v>420</v>
      </c>
      <c r="B99" s="3" t="s">
        <v>421</v>
      </c>
      <c r="C99" s="3" t="s">
        <v>422</v>
      </c>
      <c r="D99" s="3" t="s">
        <v>31</v>
      </c>
      <c r="E99" s="4">
        <v>46346</v>
      </c>
      <c r="F99" s="4">
        <v>46346</v>
      </c>
      <c r="G99" s="5">
        <f t="shared" ca="1" si="5"/>
        <v>32</v>
      </c>
      <c r="H99" s="3" t="s">
        <v>51</v>
      </c>
      <c r="I99" s="3" t="s">
        <v>423</v>
      </c>
      <c r="J99" s="3" t="s">
        <v>424</v>
      </c>
      <c r="K99" s="6" t="s">
        <v>23</v>
      </c>
      <c r="L99" s="6" t="s">
        <v>22</v>
      </c>
      <c r="M99" s="6" t="s">
        <v>26</v>
      </c>
      <c r="N99" s="6"/>
      <c r="O99" s="7" t="str">
        <f t="shared" si="4"/>
        <v>Benigno, Reis, Hofmann</v>
      </c>
      <c r="P99" s="15" t="s">
        <v>27</v>
      </c>
    </row>
    <row r="100" spans="1:16" ht="48" customHeight="1" x14ac:dyDescent="0.2">
      <c r="A100" s="3" t="s">
        <v>233</v>
      </c>
      <c r="B100" s="3" t="s">
        <v>425</v>
      </c>
      <c r="C100" s="3" t="s">
        <v>235</v>
      </c>
      <c r="D100" s="3" t="s">
        <v>44</v>
      </c>
      <c r="E100" s="4">
        <v>46346</v>
      </c>
      <c r="F100" s="4">
        <v>46346</v>
      </c>
      <c r="G100" s="5">
        <f t="shared" ca="1" si="5"/>
        <v>32</v>
      </c>
      <c r="H100" s="3">
        <v>3</v>
      </c>
      <c r="I100" s="3" t="s">
        <v>426</v>
      </c>
      <c r="J100" s="3" t="s">
        <v>427</v>
      </c>
      <c r="K100" s="6" t="s">
        <v>23</v>
      </c>
      <c r="L100" s="6" t="s">
        <v>22</v>
      </c>
      <c r="M100" s="6" t="s">
        <v>47</v>
      </c>
      <c r="N100" s="6"/>
      <c r="O100" s="7" t="str">
        <f t="shared" si="4"/>
        <v>Benigno, Reis, Chaudhary</v>
      </c>
      <c r="P100" s="15" t="s">
        <v>27</v>
      </c>
    </row>
    <row r="101" spans="1:16" ht="48" customHeight="1" x14ac:dyDescent="0.2">
      <c r="A101" s="3" t="s">
        <v>428</v>
      </c>
      <c r="B101" s="3" t="s">
        <v>429</v>
      </c>
      <c r="C101" s="3" t="s">
        <v>50</v>
      </c>
      <c r="D101" s="3" t="s">
        <v>44</v>
      </c>
      <c r="E101" s="4">
        <v>46346</v>
      </c>
      <c r="F101" s="4">
        <v>46346</v>
      </c>
      <c r="G101" s="5">
        <f t="shared" ca="1" si="5"/>
        <v>32</v>
      </c>
      <c r="H101" s="3" t="s">
        <v>51</v>
      </c>
      <c r="I101" s="3" t="s">
        <v>430</v>
      </c>
      <c r="J101" s="3"/>
      <c r="K101" s="6" t="s">
        <v>23</v>
      </c>
      <c r="L101" s="6" t="s">
        <v>22</v>
      </c>
      <c r="M101" s="6" t="s">
        <v>47</v>
      </c>
      <c r="N101" s="6"/>
      <c r="O101" s="7" t="str">
        <f t="shared" si="4"/>
        <v>Benigno, Reis, Chaudhary</v>
      </c>
      <c r="P101" s="15" t="s">
        <v>27</v>
      </c>
    </row>
    <row r="102" spans="1:16" ht="48" customHeight="1" x14ac:dyDescent="0.2">
      <c r="A102" s="3" t="s">
        <v>431</v>
      </c>
      <c r="B102" s="3" t="s">
        <v>42</v>
      </c>
      <c r="C102" s="3" t="s">
        <v>432</v>
      </c>
      <c r="D102" s="3" t="s">
        <v>44</v>
      </c>
      <c r="E102" s="4">
        <v>46346</v>
      </c>
      <c r="F102" s="4">
        <v>46346</v>
      </c>
      <c r="G102" s="5">
        <f t="shared" ca="1" si="5"/>
        <v>32</v>
      </c>
      <c r="H102" s="3" t="s">
        <v>51</v>
      </c>
      <c r="I102" s="3" t="s">
        <v>433</v>
      </c>
      <c r="J102" s="3"/>
      <c r="K102" s="6" t="s">
        <v>23</v>
      </c>
      <c r="L102" s="6" t="s">
        <v>22</v>
      </c>
      <c r="M102" s="6" t="s">
        <v>47</v>
      </c>
      <c r="N102" s="6"/>
      <c r="O102" s="7" t="str">
        <f t="shared" si="4"/>
        <v>Benigno, Reis, Chaudhary</v>
      </c>
      <c r="P102" s="15" t="s">
        <v>34</v>
      </c>
    </row>
    <row r="103" spans="1:16" ht="48" customHeight="1" x14ac:dyDescent="0.2">
      <c r="A103" s="3" t="s">
        <v>434</v>
      </c>
      <c r="B103" s="3" t="s">
        <v>435</v>
      </c>
      <c r="C103" s="3" t="s">
        <v>436</v>
      </c>
      <c r="D103" s="3" t="s">
        <v>31</v>
      </c>
      <c r="E103" s="4">
        <v>46347</v>
      </c>
      <c r="F103" s="4">
        <v>46347</v>
      </c>
      <c r="G103" s="5">
        <f t="shared" ca="1" si="5"/>
        <v>33</v>
      </c>
      <c r="H103" s="3">
        <v>3</v>
      </c>
      <c r="I103" s="3" t="s">
        <v>437</v>
      </c>
      <c r="J103" s="3" t="s">
        <v>438</v>
      </c>
      <c r="K103" s="6" t="s">
        <v>23</v>
      </c>
      <c r="L103" s="6" t="s">
        <v>22</v>
      </c>
      <c r="M103" s="6" t="s">
        <v>26</v>
      </c>
      <c r="N103" s="6"/>
      <c r="O103" s="7" t="str">
        <f t="shared" si="4"/>
        <v>Benigno, Reis, Hofmann</v>
      </c>
      <c r="P103" s="15" t="s">
        <v>27</v>
      </c>
    </row>
    <row r="104" spans="1:16" ht="48" customHeight="1" x14ac:dyDescent="0.2">
      <c r="A104" s="3" t="s">
        <v>439</v>
      </c>
      <c r="B104" s="3" t="s">
        <v>440</v>
      </c>
      <c r="C104" s="3" t="s">
        <v>441</v>
      </c>
      <c r="D104" s="3" t="s">
        <v>31</v>
      </c>
      <c r="E104" s="4">
        <v>46348</v>
      </c>
      <c r="F104" s="4">
        <v>46348</v>
      </c>
      <c r="G104" s="5">
        <f t="shared" ca="1" si="5"/>
        <v>34</v>
      </c>
      <c r="H104" s="3" t="s">
        <v>333</v>
      </c>
      <c r="I104" s="3" t="s">
        <v>442</v>
      </c>
      <c r="J104" s="3"/>
      <c r="K104" s="6" t="s">
        <v>23</v>
      </c>
      <c r="L104" s="6" t="s">
        <v>22</v>
      </c>
      <c r="M104" s="6" t="s">
        <v>26</v>
      </c>
      <c r="N104" s="6"/>
      <c r="O104" s="7" t="str">
        <f t="shared" si="4"/>
        <v>Benigno, Reis, Hofmann</v>
      </c>
      <c r="P104" s="15" t="s">
        <v>27</v>
      </c>
    </row>
    <row r="105" spans="1:16" ht="48" customHeight="1" x14ac:dyDescent="0.2">
      <c r="A105" s="3" t="s">
        <v>443</v>
      </c>
      <c r="B105" s="3" t="s">
        <v>42</v>
      </c>
      <c r="C105" s="3" t="s">
        <v>444</v>
      </c>
      <c r="D105" s="3" t="s">
        <v>44</v>
      </c>
      <c r="E105" s="4">
        <v>46348</v>
      </c>
      <c r="F105" s="4">
        <v>46348</v>
      </c>
      <c r="G105" s="5">
        <f t="shared" ca="1" si="5"/>
        <v>34</v>
      </c>
      <c r="H105" s="3">
        <v>3</v>
      </c>
      <c r="I105" s="3" t="s">
        <v>445</v>
      </c>
      <c r="J105" s="3" t="s">
        <v>446</v>
      </c>
      <c r="K105" s="6" t="s">
        <v>23</v>
      </c>
      <c r="L105" s="6" t="s">
        <v>22</v>
      </c>
      <c r="M105" s="6" t="s">
        <v>47</v>
      </c>
      <c r="N105" s="6"/>
      <c r="O105" s="7" t="str">
        <f t="shared" si="4"/>
        <v>Benigno, Reis, Chaudhary</v>
      </c>
      <c r="P105" s="15" t="s">
        <v>27</v>
      </c>
    </row>
    <row r="106" spans="1:16" ht="48" customHeight="1" x14ac:dyDescent="0.2">
      <c r="A106" s="3" t="s">
        <v>447</v>
      </c>
      <c r="B106" s="3" t="s">
        <v>448</v>
      </c>
      <c r="C106" s="3" t="s">
        <v>449</v>
      </c>
      <c r="D106" s="3" t="s">
        <v>31</v>
      </c>
      <c r="E106" s="4">
        <v>46348</v>
      </c>
      <c r="F106" s="4">
        <v>46348</v>
      </c>
      <c r="G106" s="5">
        <f t="shared" ca="1" si="5"/>
        <v>34</v>
      </c>
      <c r="H106" s="3">
        <v>3</v>
      </c>
      <c r="I106" s="3" t="s">
        <v>450</v>
      </c>
      <c r="J106" s="3"/>
      <c r="K106" s="6" t="s">
        <v>23</v>
      </c>
      <c r="L106" s="6" t="s">
        <v>22</v>
      </c>
      <c r="M106" s="6" t="s">
        <v>26</v>
      </c>
      <c r="N106" s="6"/>
      <c r="O106" s="7" t="str">
        <f t="shared" si="4"/>
        <v>Benigno, Reis, Hofmann</v>
      </c>
      <c r="P106" s="15" t="s">
        <v>27</v>
      </c>
    </row>
    <row r="107" spans="1:16" ht="48" customHeight="1" x14ac:dyDescent="0.2">
      <c r="A107" s="3" t="s">
        <v>451</v>
      </c>
      <c r="B107" s="3" t="s">
        <v>452</v>
      </c>
      <c r="C107" s="3" t="s">
        <v>453</v>
      </c>
      <c r="D107" s="3" t="s">
        <v>31</v>
      </c>
      <c r="E107" s="4">
        <v>46348</v>
      </c>
      <c r="F107" s="4">
        <v>46348</v>
      </c>
      <c r="G107" s="5">
        <f t="shared" ca="1" si="5"/>
        <v>34</v>
      </c>
      <c r="H107" s="3">
        <v>3</v>
      </c>
      <c r="I107" s="3" t="s">
        <v>454</v>
      </c>
      <c r="J107" s="3" t="s">
        <v>455</v>
      </c>
      <c r="K107" s="6" t="s">
        <v>23</v>
      </c>
      <c r="L107" s="6" t="s">
        <v>22</v>
      </c>
      <c r="M107" s="6" t="s">
        <v>26</v>
      </c>
      <c r="N107" s="6"/>
      <c r="O107" s="7" t="str">
        <f t="shared" si="4"/>
        <v>Benigno, Reis, Hofmann</v>
      </c>
      <c r="P107" s="15" t="s">
        <v>27</v>
      </c>
    </row>
    <row r="108" spans="1:16" ht="48" customHeight="1" x14ac:dyDescent="0.2">
      <c r="A108" s="3" t="s">
        <v>456</v>
      </c>
      <c r="B108" s="3" t="s">
        <v>457</v>
      </c>
      <c r="C108" s="3" t="s">
        <v>87</v>
      </c>
      <c r="D108" s="3" t="s">
        <v>44</v>
      </c>
      <c r="E108" s="4">
        <v>46348</v>
      </c>
      <c r="F108" s="4">
        <v>46348</v>
      </c>
      <c r="G108" s="5">
        <f t="shared" ca="1" si="5"/>
        <v>34</v>
      </c>
      <c r="H108" s="3">
        <v>3</v>
      </c>
      <c r="I108" s="3" t="s">
        <v>458</v>
      </c>
      <c r="J108" s="3"/>
      <c r="K108" s="6" t="s">
        <v>23</v>
      </c>
      <c r="L108" s="6" t="s">
        <v>22</v>
      </c>
      <c r="M108" s="6" t="s">
        <v>47</v>
      </c>
      <c r="N108" s="6"/>
      <c r="O108" s="7" t="str">
        <f t="shared" si="4"/>
        <v>Benigno, Reis, Chaudhary</v>
      </c>
      <c r="P108" s="15" t="s">
        <v>27</v>
      </c>
    </row>
    <row r="109" spans="1:16" ht="48" customHeight="1" x14ac:dyDescent="0.2">
      <c r="A109" s="3" t="s">
        <v>459</v>
      </c>
      <c r="B109" s="3" t="s">
        <v>460</v>
      </c>
      <c r="C109" s="3" t="s">
        <v>391</v>
      </c>
      <c r="D109" s="3" t="s">
        <v>31</v>
      </c>
      <c r="E109" s="4">
        <v>46349</v>
      </c>
      <c r="F109" s="4">
        <v>46349</v>
      </c>
      <c r="G109" s="5">
        <f t="shared" ca="1" si="5"/>
        <v>35</v>
      </c>
      <c r="H109" s="3">
        <v>3</v>
      </c>
      <c r="I109" s="3" t="s">
        <v>461</v>
      </c>
      <c r="J109" s="3"/>
      <c r="K109" s="6" t="s">
        <v>23</v>
      </c>
      <c r="L109" s="6" t="s">
        <v>22</v>
      </c>
      <c r="M109" s="6" t="s">
        <v>26</v>
      </c>
      <c r="N109" s="6"/>
      <c r="O109" s="7" t="str">
        <f t="shared" si="4"/>
        <v>Benigno, Reis, Hofmann</v>
      </c>
      <c r="P109" s="15" t="s">
        <v>27</v>
      </c>
    </row>
    <row r="110" spans="1:16" ht="48" customHeight="1" x14ac:dyDescent="0.2">
      <c r="A110" s="3" t="s">
        <v>462</v>
      </c>
      <c r="B110" s="3" t="s">
        <v>463</v>
      </c>
      <c r="C110" s="3" t="s">
        <v>464</v>
      </c>
      <c r="D110" s="3" t="s">
        <v>31</v>
      </c>
      <c r="E110" s="4">
        <v>46352</v>
      </c>
      <c r="F110" s="4">
        <v>46352</v>
      </c>
      <c r="G110" s="5">
        <f t="shared" ca="1" si="5"/>
        <v>38</v>
      </c>
      <c r="H110" s="3">
        <v>3</v>
      </c>
      <c r="I110" s="3" t="s">
        <v>465</v>
      </c>
      <c r="J110" s="3"/>
      <c r="K110" s="6" t="s">
        <v>23</v>
      </c>
      <c r="L110" s="6" t="s">
        <v>22</v>
      </c>
      <c r="M110" s="6" t="s">
        <v>26</v>
      </c>
      <c r="N110" s="6"/>
      <c r="O110" s="7" t="str">
        <f t="shared" si="4"/>
        <v>Benigno, Reis, Hofmann</v>
      </c>
      <c r="P110" s="15" t="s">
        <v>27</v>
      </c>
    </row>
    <row r="111" spans="1:16" ht="48" customHeight="1" x14ac:dyDescent="0.2">
      <c r="A111" s="3" t="s">
        <v>466</v>
      </c>
      <c r="B111" s="3" t="s">
        <v>467</v>
      </c>
      <c r="C111" s="3" t="s">
        <v>468</v>
      </c>
      <c r="D111" s="3" t="s">
        <v>469</v>
      </c>
      <c r="E111" s="4">
        <v>46352</v>
      </c>
      <c r="F111" s="4">
        <v>46352</v>
      </c>
      <c r="G111" s="5">
        <f t="shared" ca="1" si="5"/>
        <v>38</v>
      </c>
      <c r="H111" s="3">
        <v>3</v>
      </c>
      <c r="I111" s="3" t="s">
        <v>470</v>
      </c>
      <c r="J111" s="3"/>
      <c r="K111" s="6" t="s">
        <v>23</v>
      </c>
      <c r="L111" s="6" t="s">
        <v>22</v>
      </c>
      <c r="M111" s="6" t="s">
        <v>47</v>
      </c>
      <c r="N111" s="6"/>
      <c r="O111" s="7" t="str">
        <f t="shared" si="4"/>
        <v>Benigno, Reis, Chaudhary</v>
      </c>
      <c r="P111" s="15" t="s">
        <v>27</v>
      </c>
    </row>
    <row r="112" spans="1:16" ht="48" customHeight="1" x14ac:dyDescent="0.2">
      <c r="A112" s="3" t="s">
        <v>471</v>
      </c>
      <c r="B112" s="3" t="s">
        <v>472</v>
      </c>
      <c r="C112" s="3" t="s">
        <v>67</v>
      </c>
      <c r="D112" s="3" t="s">
        <v>31</v>
      </c>
      <c r="E112" s="4">
        <v>46353</v>
      </c>
      <c r="F112" s="4">
        <v>46353</v>
      </c>
      <c r="G112" s="5">
        <f t="shared" ca="1" si="5"/>
        <v>39</v>
      </c>
      <c r="H112" s="3">
        <v>3</v>
      </c>
      <c r="I112" s="3" t="s">
        <v>473</v>
      </c>
      <c r="J112" s="3"/>
      <c r="K112" s="6" t="s">
        <v>23</v>
      </c>
      <c r="L112" s="6" t="s">
        <v>22</v>
      </c>
      <c r="M112" s="6" t="s">
        <v>26</v>
      </c>
      <c r="N112" s="6"/>
      <c r="O112" s="7" t="str">
        <f t="shared" si="4"/>
        <v>Benigno, Reis, Hofmann</v>
      </c>
      <c r="P112" s="15" t="s">
        <v>27</v>
      </c>
    </row>
    <row r="113" spans="1:16" ht="48" customHeight="1" x14ac:dyDescent="0.2">
      <c r="A113" s="3" t="s">
        <v>474</v>
      </c>
      <c r="B113" s="3" t="s">
        <v>475</v>
      </c>
      <c r="C113" s="3" t="s">
        <v>476</v>
      </c>
      <c r="D113" s="3" t="s">
        <v>134</v>
      </c>
      <c r="E113" s="4">
        <v>46353</v>
      </c>
      <c r="F113" s="4">
        <v>46353</v>
      </c>
      <c r="G113" s="5">
        <f t="shared" ca="1" si="5"/>
        <v>39</v>
      </c>
      <c r="H113" s="3">
        <v>2</v>
      </c>
      <c r="I113" s="3" t="s">
        <v>477</v>
      </c>
      <c r="J113" s="3"/>
      <c r="K113" s="6" t="s">
        <v>23</v>
      </c>
      <c r="L113" s="6" t="s">
        <v>22</v>
      </c>
      <c r="M113" s="6"/>
      <c r="N113" s="6"/>
      <c r="O113" s="7" t="str">
        <f t="shared" si="4"/>
        <v>Benigno, Reis</v>
      </c>
      <c r="P113" s="15" t="s">
        <v>27</v>
      </c>
    </row>
    <row r="114" spans="1:16" ht="48" customHeight="1" x14ac:dyDescent="0.2">
      <c r="A114" s="3" t="s">
        <v>478</v>
      </c>
      <c r="B114" s="3" t="s">
        <v>479</v>
      </c>
      <c r="C114" s="3" t="s">
        <v>17</v>
      </c>
      <c r="D114" s="3" t="s">
        <v>18</v>
      </c>
      <c r="E114" s="4">
        <v>46353</v>
      </c>
      <c r="F114" s="4">
        <v>46353</v>
      </c>
      <c r="G114" s="5">
        <f t="shared" ca="1" si="5"/>
        <v>39</v>
      </c>
      <c r="H114" s="3">
        <v>3</v>
      </c>
      <c r="I114" s="3" t="s">
        <v>480</v>
      </c>
      <c r="J114" s="3" t="s">
        <v>481</v>
      </c>
      <c r="K114" s="6" t="s">
        <v>23</v>
      </c>
      <c r="L114" s="6" t="s">
        <v>22</v>
      </c>
      <c r="M114" s="6" t="s">
        <v>26</v>
      </c>
      <c r="N114" s="6"/>
      <c r="O114" s="7" t="str">
        <f t="shared" si="4"/>
        <v>Benigno, Reis, Hofmann</v>
      </c>
      <c r="P114" s="15" t="s">
        <v>27</v>
      </c>
    </row>
    <row r="115" spans="1:16" ht="48" customHeight="1" x14ac:dyDescent="0.2">
      <c r="A115" s="3" t="s">
        <v>482</v>
      </c>
      <c r="B115" s="3" t="s">
        <v>483</v>
      </c>
      <c r="C115" s="3" t="s">
        <v>484</v>
      </c>
      <c r="D115" s="3" t="s">
        <v>44</v>
      </c>
      <c r="E115" s="4">
        <v>46355</v>
      </c>
      <c r="F115" s="4">
        <v>46355</v>
      </c>
      <c r="G115" s="5">
        <f t="shared" ca="1" si="5"/>
        <v>41</v>
      </c>
      <c r="H115" s="3">
        <v>2</v>
      </c>
      <c r="I115" s="3" t="s">
        <v>485</v>
      </c>
      <c r="J115" s="3"/>
      <c r="K115" s="6" t="s">
        <v>23</v>
      </c>
      <c r="L115" s="6" t="s">
        <v>22</v>
      </c>
      <c r="M115" s="6"/>
      <c r="N115" s="6"/>
      <c r="O115" s="7" t="str">
        <f t="shared" si="4"/>
        <v>Benigno, Reis</v>
      </c>
      <c r="P115" s="15" t="s">
        <v>27</v>
      </c>
    </row>
    <row r="116" spans="1:16" ht="48" customHeight="1" x14ac:dyDescent="0.2">
      <c r="A116" s="3" t="s">
        <v>486</v>
      </c>
      <c r="B116" s="3" t="s">
        <v>487</v>
      </c>
      <c r="C116" s="3" t="s">
        <v>488</v>
      </c>
      <c r="D116" s="3" t="s">
        <v>31</v>
      </c>
      <c r="E116" s="4">
        <v>46349</v>
      </c>
      <c r="F116" s="4">
        <v>46356</v>
      </c>
      <c r="G116" s="5">
        <f t="shared" ca="1" si="5"/>
        <v>42</v>
      </c>
      <c r="H116" s="3">
        <v>3</v>
      </c>
      <c r="I116" s="3" t="s">
        <v>489</v>
      </c>
      <c r="J116" s="3" t="s">
        <v>490</v>
      </c>
      <c r="K116" s="6" t="s">
        <v>23</v>
      </c>
      <c r="L116" s="6" t="s">
        <v>22</v>
      </c>
      <c r="M116" s="6" t="s">
        <v>26</v>
      </c>
      <c r="N116" s="6"/>
      <c r="O116" s="7" t="str">
        <f t="shared" si="4"/>
        <v>Benigno, Reis, Hofmann</v>
      </c>
      <c r="P116" s="15" t="s">
        <v>34</v>
      </c>
    </row>
    <row r="117" spans="1:16" ht="48" customHeight="1" x14ac:dyDescent="0.2">
      <c r="A117" s="3" t="s">
        <v>491</v>
      </c>
      <c r="B117" s="3" t="s">
        <v>492</v>
      </c>
      <c r="C117" s="3" t="s">
        <v>493</v>
      </c>
      <c r="D117" s="3" t="s">
        <v>18</v>
      </c>
      <c r="E117" s="4">
        <v>46356</v>
      </c>
      <c r="F117" s="4">
        <v>46356</v>
      </c>
      <c r="G117" s="5">
        <f t="shared" ca="1" si="5"/>
        <v>42</v>
      </c>
      <c r="H117" s="3">
        <v>2</v>
      </c>
      <c r="I117" s="3" t="s">
        <v>494</v>
      </c>
      <c r="J117" s="3" t="s">
        <v>495</v>
      </c>
      <c r="K117" s="6" t="s">
        <v>23</v>
      </c>
      <c r="L117" s="6" t="s">
        <v>22</v>
      </c>
      <c r="M117" s="6"/>
      <c r="N117" s="6"/>
      <c r="O117" s="7" t="str">
        <f t="shared" si="4"/>
        <v>Benigno, Reis</v>
      </c>
      <c r="P117" s="15" t="s">
        <v>27</v>
      </c>
    </row>
    <row r="118" spans="1:16" ht="48" customHeight="1" x14ac:dyDescent="0.2">
      <c r="A118" s="3" t="s">
        <v>416</v>
      </c>
      <c r="B118" s="3" t="s">
        <v>496</v>
      </c>
      <c r="C118" s="3" t="s">
        <v>418</v>
      </c>
      <c r="D118" s="3" t="s">
        <v>31</v>
      </c>
      <c r="E118" s="4">
        <v>46356</v>
      </c>
      <c r="F118" s="4">
        <v>46356</v>
      </c>
      <c r="G118" s="5">
        <f t="shared" ca="1" si="5"/>
        <v>42</v>
      </c>
      <c r="H118" s="3">
        <v>3</v>
      </c>
      <c r="I118" s="3" t="s">
        <v>497</v>
      </c>
      <c r="J118" s="3" t="s">
        <v>498</v>
      </c>
      <c r="K118" s="6" t="s">
        <v>23</v>
      </c>
      <c r="L118" s="6" t="s">
        <v>22</v>
      </c>
      <c r="M118" s="6" t="s">
        <v>26</v>
      </c>
      <c r="N118" s="6"/>
      <c r="O118" s="7" t="str">
        <f t="shared" si="4"/>
        <v>Benigno, Reis, Hofmann</v>
      </c>
      <c r="P118" s="15" t="s">
        <v>27</v>
      </c>
    </row>
    <row r="119" spans="1:16" ht="48" customHeight="1" x14ac:dyDescent="0.2">
      <c r="A119" s="3" t="s">
        <v>499</v>
      </c>
      <c r="B119" s="3" t="s">
        <v>500</v>
      </c>
      <c r="C119" s="3" t="s">
        <v>501</v>
      </c>
      <c r="D119" s="3" t="s">
        <v>31</v>
      </c>
      <c r="E119" s="4">
        <v>46356</v>
      </c>
      <c r="F119" s="4">
        <v>46356</v>
      </c>
      <c r="G119" s="5">
        <f t="shared" ca="1" si="5"/>
        <v>42</v>
      </c>
      <c r="H119" s="3" t="s">
        <v>502</v>
      </c>
      <c r="I119" s="3" t="s">
        <v>503</v>
      </c>
      <c r="J119" s="3" t="s">
        <v>504</v>
      </c>
      <c r="K119" s="6" t="s">
        <v>23</v>
      </c>
      <c r="L119" s="6" t="s">
        <v>22</v>
      </c>
      <c r="M119" s="6" t="s">
        <v>26</v>
      </c>
      <c r="N119" s="6"/>
      <c r="O119" s="7" t="str">
        <f t="shared" si="4"/>
        <v>Benigno, Reis, Hofmann</v>
      </c>
      <c r="P119" s="15" t="s">
        <v>34</v>
      </c>
    </row>
    <row r="120" spans="1:16" ht="48" customHeight="1" x14ac:dyDescent="0.2">
      <c r="A120" s="3" t="s">
        <v>505</v>
      </c>
      <c r="B120" s="3" t="s">
        <v>506</v>
      </c>
      <c r="C120" s="3" t="s">
        <v>304</v>
      </c>
      <c r="D120" s="3" t="s">
        <v>18</v>
      </c>
      <c r="E120" s="4">
        <v>46357</v>
      </c>
      <c r="F120" s="4">
        <v>46357</v>
      </c>
      <c r="G120" s="5">
        <f t="shared" ref="G120:G145" ca="1" si="6">IF(F120&lt;&gt;"",F120-TODAY(),IF(E120&lt;&gt;"",E120-TODAY(),""))</f>
        <v>43</v>
      </c>
      <c r="H120" s="3" t="s">
        <v>51</v>
      </c>
      <c r="I120" s="3" t="s">
        <v>52</v>
      </c>
      <c r="J120" s="3"/>
      <c r="K120" s="6" t="s">
        <v>23</v>
      </c>
      <c r="L120" s="6" t="s">
        <v>22</v>
      </c>
      <c r="M120" s="6" t="s">
        <v>26</v>
      </c>
      <c r="N120" s="6"/>
      <c r="O120" s="7" t="str">
        <f t="shared" si="4"/>
        <v>Benigno, Reis, Hofmann</v>
      </c>
      <c r="P120" s="15" t="s">
        <v>27</v>
      </c>
    </row>
    <row r="121" spans="1:16" ht="48" customHeight="1" x14ac:dyDescent="0.2">
      <c r="A121" s="3" t="s">
        <v>507</v>
      </c>
      <c r="B121" s="3" t="s">
        <v>369</v>
      </c>
      <c r="C121" s="3" t="s">
        <v>170</v>
      </c>
      <c r="D121" s="3" t="s">
        <v>31</v>
      </c>
      <c r="E121" s="4">
        <v>46357</v>
      </c>
      <c r="F121" s="4">
        <v>46357</v>
      </c>
      <c r="G121" s="5">
        <f t="shared" ca="1" si="6"/>
        <v>43</v>
      </c>
      <c r="H121" s="3">
        <v>3</v>
      </c>
      <c r="I121" s="3" t="s">
        <v>236</v>
      </c>
      <c r="J121" s="3"/>
      <c r="K121" s="6" t="s">
        <v>23</v>
      </c>
      <c r="L121" s="6" t="s">
        <v>22</v>
      </c>
      <c r="M121" s="6" t="s">
        <v>26</v>
      </c>
      <c r="N121" s="6"/>
      <c r="O121" s="7" t="str">
        <f t="shared" si="4"/>
        <v>Benigno, Reis, Hofmann</v>
      </c>
      <c r="P121" s="15" t="s">
        <v>27</v>
      </c>
    </row>
    <row r="122" spans="1:16" ht="48" customHeight="1" x14ac:dyDescent="0.2">
      <c r="A122" s="3" t="s">
        <v>508</v>
      </c>
      <c r="B122" s="3" t="s">
        <v>509</v>
      </c>
      <c r="C122" s="3" t="s">
        <v>510</v>
      </c>
      <c r="D122" s="3" t="s">
        <v>38</v>
      </c>
      <c r="E122" s="4">
        <v>46357</v>
      </c>
      <c r="F122" s="4">
        <v>46357</v>
      </c>
      <c r="G122" s="5">
        <f t="shared" ca="1" si="6"/>
        <v>43</v>
      </c>
      <c r="H122" s="3" t="s">
        <v>51</v>
      </c>
      <c r="I122" s="3" t="s">
        <v>52</v>
      </c>
      <c r="J122" s="3"/>
      <c r="K122" s="6" t="s">
        <v>23</v>
      </c>
      <c r="L122" s="6" t="s">
        <v>22</v>
      </c>
      <c r="M122" s="6" t="s">
        <v>26</v>
      </c>
      <c r="N122" s="6"/>
      <c r="O122" s="7" t="str">
        <f t="shared" si="4"/>
        <v>Benigno, Reis, Hofmann</v>
      </c>
      <c r="P122" s="15" t="s">
        <v>27</v>
      </c>
    </row>
    <row r="123" spans="1:16" ht="48" customHeight="1" x14ac:dyDescent="0.2">
      <c r="A123" s="3" t="s">
        <v>511</v>
      </c>
      <c r="B123" s="3" t="s">
        <v>512</v>
      </c>
      <c r="C123" s="3" t="s">
        <v>170</v>
      </c>
      <c r="D123" s="3" t="s">
        <v>44</v>
      </c>
      <c r="E123" s="4">
        <v>46357</v>
      </c>
      <c r="F123" s="4">
        <v>46357</v>
      </c>
      <c r="G123" s="5">
        <f t="shared" ca="1" si="6"/>
        <v>43</v>
      </c>
      <c r="H123" s="3" t="s">
        <v>513</v>
      </c>
      <c r="I123" s="3" t="s">
        <v>514</v>
      </c>
      <c r="J123" s="3" t="s">
        <v>515</v>
      </c>
      <c r="K123" s="6" t="s">
        <v>23</v>
      </c>
      <c r="L123" s="6" t="s">
        <v>22</v>
      </c>
      <c r="M123" s="6"/>
      <c r="N123" s="6"/>
      <c r="O123" s="7" t="str">
        <f t="shared" si="4"/>
        <v>Benigno, Reis</v>
      </c>
      <c r="P123" s="15" t="s">
        <v>34</v>
      </c>
    </row>
    <row r="124" spans="1:16" ht="48" customHeight="1" x14ac:dyDescent="0.2">
      <c r="A124" s="3" t="s">
        <v>516</v>
      </c>
      <c r="B124" s="3" t="s">
        <v>319</v>
      </c>
      <c r="C124" s="3" t="s">
        <v>517</v>
      </c>
      <c r="D124" s="3" t="s">
        <v>31</v>
      </c>
      <c r="E124" s="4">
        <v>46357</v>
      </c>
      <c r="F124" s="4">
        <v>46357</v>
      </c>
      <c r="G124" s="5">
        <f t="shared" ca="1" si="6"/>
        <v>43</v>
      </c>
      <c r="H124" s="3" t="s">
        <v>51</v>
      </c>
      <c r="I124" s="3" t="s">
        <v>518</v>
      </c>
      <c r="J124" s="3"/>
      <c r="K124" s="6" t="s">
        <v>23</v>
      </c>
      <c r="L124" s="6" t="s">
        <v>22</v>
      </c>
      <c r="M124" s="6" t="s">
        <v>26</v>
      </c>
      <c r="N124" s="6"/>
      <c r="O124" s="7" t="str">
        <f t="shared" si="4"/>
        <v>Benigno, Reis, Hofmann</v>
      </c>
      <c r="P124" s="15" t="s">
        <v>34</v>
      </c>
    </row>
    <row r="125" spans="1:16" ht="48" customHeight="1" x14ac:dyDescent="0.2">
      <c r="A125" s="3" t="s">
        <v>519</v>
      </c>
      <c r="B125" s="3" t="s">
        <v>520</v>
      </c>
      <c r="C125" s="3" t="s">
        <v>521</v>
      </c>
      <c r="D125" s="3" t="s">
        <v>31</v>
      </c>
      <c r="E125" s="4">
        <v>46357</v>
      </c>
      <c r="F125" s="4">
        <v>46357</v>
      </c>
      <c r="G125" s="5">
        <f t="shared" ca="1" si="6"/>
        <v>43</v>
      </c>
      <c r="H125" s="3">
        <v>3</v>
      </c>
      <c r="I125" s="3" t="s">
        <v>522</v>
      </c>
      <c r="J125" s="3"/>
      <c r="K125" s="6" t="s">
        <v>23</v>
      </c>
      <c r="L125" s="6" t="s">
        <v>22</v>
      </c>
      <c r="M125" s="6" t="s">
        <v>26</v>
      </c>
      <c r="N125" s="6"/>
      <c r="O125" s="7" t="str">
        <f t="shared" si="4"/>
        <v>Benigno, Reis, Hofmann</v>
      </c>
      <c r="P125" s="15" t="s">
        <v>34</v>
      </c>
    </row>
    <row r="126" spans="1:16" ht="48" customHeight="1" x14ac:dyDescent="0.2">
      <c r="A126" s="3" t="s">
        <v>523</v>
      </c>
      <c r="B126" s="3" t="s">
        <v>524</v>
      </c>
      <c r="C126" s="3" t="s">
        <v>525</v>
      </c>
      <c r="D126" s="3" t="s">
        <v>31</v>
      </c>
      <c r="E126" s="4">
        <v>46357</v>
      </c>
      <c r="F126" s="4">
        <v>46357</v>
      </c>
      <c r="G126" s="5">
        <f t="shared" ca="1" si="6"/>
        <v>43</v>
      </c>
      <c r="H126" s="3">
        <v>3</v>
      </c>
      <c r="I126" s="3" t="s">
        <v>52</v>
      </c>
      <c r="J126" s="3" t="s">
        <v>526</v>
      </c>
      <c r="K126" s="6" t="s">
        <v>23</v>
      </c>
      <c r="L126" s="6" t="s">
        <v>22</v>
      </c>
      <c r="M126" s="6" t="s">
        <v>26</v>
      </c>
      <c r="N126" s="6"/>
      <c r="O126" s="7" t="str">
        <f t="shared" si="4"/>
        <v>Benigno, Reis, Hofmann</v>
      </c>
      <c r="P126" s="15" t="s">
        <v>27</v>
      </c>
    </row>
    <row r="127" spans="1:16" ht="48" customHeight="1" x14ac:dyDescent="0.2">
      <c r="A127" s="3" t="s">
        <v>505</v>
      </c>
      <c r="B127" s="3" t="s">
        <v>527</v>
      </c>
      <c r="C127" s="3" t="s">
        <v>304</v>
      </c>
      <c r="D127" s="3" t="s">
        <v>18</v>
      </c>
      <c r="E127" s="4">
        <v>46357</v>
      </c>
      <c r="F127" s="4">
        <v>46357</v>
      </c>
      <c r="G127" s="5">
        <f t="shared" ca="1" si="6"/>
        <v>43</v>
      </c>
      <c r="H127" s="3">
        <v>3</v>
      </c>
      <c r="I127" s="3" t="s">
        <v>528</v>
      </c>
      <c r="J127" s="3"/>
      <c r="K127" s="6" t="s">
        <v>23</v>
      </c>
      <c r="L127" s="6" t="s">
        <v>22</v>
      </c>
      <c r="M127" s="6" t="s">
        <v>26</v>
      </c>
      <c r="N127" s="6"/>
      <c r="O127" s="7" t="str">
        <f t="shared" si="4"/>
        <v>Benigno, Reis, Hofmann</v>
      </c>
      <c r="P127" s="15" t="s">
        <v>27</v>
      </c>
    </row>
    <row r="128" spans="1:16" ht="48" customHeight="1" x14ac:dyDescent="0.2">
      <c r="A128" s="3" t="s">
        <v>529</v>
      </c>
      <c r="B128" s="3" t="s">
        <v>530</v>
      </c>
      <c r="C128" s="3" t="s">
        <v>259</v>
      </c>
      <c r="D128" s="3" t="s">
        <v>38</v>
      </c>
      <c r="E128" s="4">
        <v>46360</v>
      </c>
      <c r="F128" s="4"/>
      <c r="G128" s="5">
        <f t="shared" ca="1" si="6"/>
        <v>46</v>
      </c>
      <c r="H128" s="3" t="s">
        <v>531</v>
      </c>
      <c r="I128" s="3" t="s">
        <v>532</v>
      </c>
      <c r="J128" s="3" t="s">
        <v>533</v>
      </c>
      <c r="K128" s="6" t="s">
        <v>23</v>
      </c>
      <c r="L128" s="6" t="s">
        <v>22</v>
      </c>
      <c r="M128" s="6" t="s">
        <v>26</v>
      </c>
      <c r="N128" s="6"/>
      <c r="O128" s="7" t="str">
        <f t="shared" si="4"/>
        <v>Benigno, Reis, Hofmann</v>
      </c>
      <c r="P128" s="15" t="s">
        <v>34</v>
      </c>
    </row>
    <row r="129" spans="1:16" ht="48" customHeight="1" x14ac:dyDescent="0.2">
      <c r="A129" s="3" t="s">
        <v>534</v>
      </c>
      <c r="B129" s="3" t="s">
        <v>509</v>
      </c>
      <c r="C129" s="3" t="s">
        <v>350</v>
      </c>
      <c r="D129" s="3" t="s">
        <v>38</v>
      </c>
      <c r="E129" s="4">
        <v>46361</v>
      </c>
      <c r="F129" s="4">
        <v>46361</v>
      </c>
      <c r="G129" s="5">
        <f t="shared" ca="1" si="6"/>
        <v>47</v>
      </c>
      <c r="H129" s="3">
        <v>3</v>
      </c>
      <c r="I129" s="3" t="s">
        <v>535</v>
      </c>
      <c r="J129" s="3" t="s">
        <v>536</v>
      </c>
      <c r="K129" s="6" t="s">
        <v>23</v>
      </c>
      <c r="L129" s="6" t="s">
        <v>22</v>
      </c>
      <c r="M129" s="6" t="s">
        <v>26</v>
      </c>
      <c r="N129" s="6"/>
      <c r="O129" s="7" t="str">
        <f t="shared" si="4"/>
        <v>Benigno, Reis, Hofmann</v>
      </c>
      <c r="P129" s="15" t="s">
        <v>27</v>
      </c>
    </row>
    <row r="130" spans="1:16" ht="48" customHeight="1" x14ac:dyDescent="0.2">
      <c r="A130" s="3" t="s">
        <v>537</v>
      </c>
      <c r="B130" s="3" t="s">
        <v>538</v>
      </c>
      <c r="C130" s="3" t="s">
        <v>79</v>
      </c>
      <c r="D130" s="3" t="s">
        <v>18</v>
      </c>
      <c r="E130" s="4">
        <v>46363</v>
      </c>
      <c r="F130" s="4">
        <v>46363</v>
      </c>
      <c r="G130" s="5">
        <f t="shared" ca="1" si="6"/>
        <v>49</v>
      </c>
      <c r="H130" s="3">
        <v>1</v>
      </c>
      <c r="I130" s="3" t="s">
        <v>539</v>
      </c>
      <c r="J130" s="3" t="s">
        <v>540</v>
      </c>
      <c r="K130" s="6" t="s">
        <v>23</v>
      </c>
      <c r="L130" s="6"/>
      <c r="M130" s="6"/>
      <c r="N130" s="6"/>
      <c r="O130" s="7" t="str">
        <f t="shared" si="4"/>
        <v>Benigno</v>
      </c>
      <c r="P130" s="15" t="s">
        <v>34</v>
      </c>
    </row>
    <row r="131" spans="1:16" ht="48" customHeight="1" x14ac:dyDescent="0.2">
      <c r="A131" s="3" t="s">
        <v>541</v>
      </c>
      <c r="B131" s="3" t="s">
        <v>542</v>
      </c>
      <c r="C131" s="3" t="s">
        <v>543</v>
      </c>
      <c r="D131" s="3" t="s">
        <v>31</v>
      </c>
      <c r="E131" s="4">
        <v>46363</v>
      </c>
      <c r="F131" s="4">
        <v>46363</v>
      </c>
      <c r="G131" s="5">
        <f t="shared" ca="1" si="6"/>
        <v>49</v>
      </c>
      <c r="H131" s="3">
        <v>3</v>
      </c>
      <c r="I131" s="3" t="s">
        <v>544</v>
      </c>
      <c r="J131" s="3"/>
      <c r="K131" s="6" t="s">
        <v>23</v>
      </c>
      <c r="L131" s="6" t="s">
        <v>22</v>
      </c>
      <c r="M131" s="6" t="s">
        <v>26</v>
      </c>
      <c r="N131" s="6"/>
      <c r="O131" s="7" t="str">
        <f t="shared" si="4"/>
        <v>Benigno, Reis, Hofmann</v>
      </c>
      <c r="P131" s="15" t="s">
        <v>27</v>
      </c>
    </row>
    <row r="132" spans="1:16" ht="48" customHeight="1" x14ac:dyDescent="0.2">
      <c r="A132" s="3" t="s">
        <v>537</v>
      </c>
      <c r="B132" s="3" t="s">
        <v>545</v>
      </c>
      <c r="C132" s="3" t="s">
        <v>79</v>
      </c>
      <c r="D132" s="3" t="s">
        <v>18</v>
      </c>
      <c r="E132" s="4">
        <v>46363</v>
      </c>
      <c r="F132" s="4">
        <v>46363</v>
      </c>
      <c r="G132" s="5">
        <f t="shared" ca="1" si="6"/>
        <v>49</v>
      </c>
      <c r="H132" s="3">
        <v>1</v>
      </c>
      <c r="I132" s="3" t="s">
        <v>539</v>
      </c>
      <c r="J132" s="3" t="s">
        <v>540</v>
      </c>
      <c r="K132" s="6" t="s">
        <v>23</v>
      </c>
      <c r="L132" s="6"/>
      <c r="M132" s="6"/>
      <c r="N132" s="6"/>
      <c r="O132" s="7" t="str">
        <f t="shared" si="4"/>
        <v>Benigno</v>
      </c>
      <c r="P132" s="15" t="s">
        <v>34</v>
      </c>
    </row>
    <row r="133" spans="1:16" ht="48" customHeight="1" x14ac:dyDescent="0.2">
      <c r="A133" s="3" t="s">
        <v>546</v>
      </c>
      <c r="B133" s="3" t="s">
        <v>547</v>
      </c>
      <c r="C133" s="3" t="s">
        <v>548</v>
      </c>
      <c r="D133" s="3" t="s">
        <v>31</v>
      </c>
      <c r="E133" s="4">
        <v>46367</v>
      </c>
      <c r="F133" s="4">
        <v>46367</v>
      </c>
      <c r="G133" s="5">
        <f t="shared" ca="1" si="6"/>
        <v>53</v>
      </c>
      <c r="H133" s="3">
        <v>3</v>
      </c>
      <c r="I133" s="3" t="s">
        <v>549</v>
      </c>
      <c r="J133" s="3" t="s">
        <v>550</v>
      </c>
      <c r="K133" s="6" t="s">
        <v>23</v>
      </c>
      <c r="L133" s="6" t="s">
        <v>22</v>
      </c>
      <c r="M133" s="6" t="s">
        <v>26</v>
      </c>
      <c r="N133" s="6"/>
      <c r="O133" s="7" t="str">
        <f t="shared" ref="O133:O145" si="7">_xlfn.TEXTJOIN(", ",TRUE(),K133:N133)</f>
        <v>Benigno, Reis, Hofmann</v>
      </c>
      <c r="P133" s="15" t="s">
        <v>27</v>
      </c>
    </row>
    <row r="134" spans="1:16" ht="48" customHeight="1" x14ac:dyDescent="0.2">
      <c r="A134" s="3" t="s">
        <v>551</v>
      </c>
      <c r="B134" s="3" t="s">
        <v>552</v>
      </c>
      <c r="C134" s="3" t="s">
        <v>553</v>
      </c>
      <c r="D134" s="3" t="s">
        <v>18</v>
      </c>
      <c r="E134" s="4">
        <v>46370</v>
      </c>
      <c r="F134" s="4">
        <v>46370</v>
      </c>
      <c r="G134" s="5">
        <f t="shared" ca="1" si="6"/>
        <v>56</v>
      </c>
      <c r="H134" s="3">
        <v>3</v>
      </c>
      <c r="I134" s="3" t="s">
        <v>554</v>
      </c>
      <c r="J134" s="3" t="s">
        <v>555</v>
      </c>
      <c r="K134" s="6" t="s">
        <v>23</v>
      </c>
      <c r="L134" s="6" t="s">
        <v>22</v>
      </c>
      <c r="M134" s="6" t="s">
        <v>26</v>
      </c>
      <c r="N134" s="6"/>
      <c r="O134" s="7" t="str">
        <f t="shared" si="7"/>
        <v>Benigno, Reis, Hofmann</v>
      </c>
      <c r="P134" s="15" t="s">
        <v>27</v>
      </c>
    </row>
    <row r="135" spans="1:16" ht="48" customHeight="1" x14ac:dyDescent="0.2">
      <c r="A135" s="3" t="s">
        <v>556</v>
      </c>
      <c r="B135" s="3" t="s">
        <v>557</v>
      </c>
      <c r="C135" s="3" t="s">
        <v>117</v>
      </c>
      <c r="D135" s="3" t="s">
        <v>18</v>
      </c>
      <c r="E135" s="4">
        <v>46371</v>
      </c>
      <c r="F135" s="4">
        <v>46371</v>
      </c>
      <c r="G135" s="5">
        <f t="shared" ca="1" si="6"/>
        <v>57</v>
      </c>
      <c r="H135" s="3" t="s">
        <v>51</v>
      </c>
      <c r="I135" s="3" t="s">
        <v>558</v>
      </c>
      <c r="J135" s="3"/>
      <c r="K135" s="6" t="s">
        <v>23</v>
      </c>
      <c r="L135" s="6" t="s">
        <v>22</v>
      </c>
      <c r="M135" s="6" t="s">
        <v>26</v>
      </c>
      <c r="N135" s="6"/>
      <c r="O135" s="7" t="str">
        <f t="shared" si="7"/>
        <v>Benigno, Reis, Hofmann</v>
      </c>
      <c r="P135" s="15" t="s">
        <v>27</v>
      </c>
    </row>
    <row r="136" spans="1:16" ht="48" customHeight="1" x14ac:dyDescent="0.2">
      <c r="A136" s="3" t="s">
        <v>559</v>
      </c>
      <c r="B136" s="3" t="s">
        <v>42</v>
      </c>
      <c r="C136" s="3" t="s">
        <v>90</v>
      </c>
      <c r="D136" s="3" t="s">
        <v>44</v>
      </c>
      <c r="E136" s="4">
        <v>46371</v>
      </c>
      <c r="F136" s="4">
        <v>46371</v>
      </c>
      <c r="G136" s="5">
        <f t="shared" ca="1" si="6"/>
        <v>57</v>
      </c>
      <c r="H136" s="3">
        <v>3</v>
      </c>
      <c r="I136" s="3" t="s">
        <v>114</v>
      </c>
      <c r="J136" s="3"/>
      <c r="K136" s="6" t="s">
        <v>23</v>
      </c>
      <c r="L136" s="6" t="s">
        <v>22</v>
      </c>
      <c r="M136" s="6" t="s">
        <v>47</v>
      </c>
      <c r="N136" s="6"/>
      <c r="O136" s="7" t="str">
        <f t="shared" si="7"/>
        <v>Benigno, Reis, Chaudhary</v>
      </c>
      <c r="P136" s="15" t="s">
        <v>34</v>
      </c>
    </row>
    <row r="137" spans="1:16" ht="48" customHeight="1" x14ac:dyDescent="0.2">
      <c r="A137" s="3" t="s">
        <v>560</v>
      </c>
      <c r="B137" s="3" t="s">
        <v>561</v>
      </c>
      <c r="C137" s="3" t="s">
        <v>562</v>
      </c>
      <c r="D137" s="3" t="s">
        <v>18</v>
      </c>
      <c r="E137" s="4">
        <v>46371</v>
      </c>
      <c r="F137" s="4">
        <v>46371</v>
      </c>
      <c r="G137" s="5">
        <f t="shared" ca="1" si="6"/>
        <v>57</v>
      </c>
      <c r="H137" s="3">
        <v>2</v>
      </c>
      <c r="I137" s="3" t="s">
        <v>563</v>
      </c>
      <c r="J137" s="3"/>
      <c r="K137" s="6" t="s">
        <v>23</v>
      </c>
      <c r="L137" s="6" t="s">
        <v>22</v>
      </c>
      <c r="M137" s="6"/>
      <c r="N137" s="6"/>
      <c r="O137" s="7" t="str">
        <f t="shared" si="7"/>
        <v>Benigno, Reis</v>
      </c>
      <c r="P137" s="15" t="s">
        <v>27</v>
      </c>
    </row>
    <row r="138" spans="1:16" ht="48" customHeight="1" x14ac:dyDescent="0.2">
      <c r="A138" s="3" t="s">
        <v>564</v>
      </c>
      <c r="B138" s="3" t="s">
        <v>565</v>
      </c>
      <c r="C138" s="3" t="s">
        <v>566</v>
      </c>
      <c r="D138" s="3" t="s">
        <v>44</v>
      </c>
      <c r="E138" s="4">
        <v>46388</v>
      </c>
      <c r="F138" s="4">
        <v>46388</v>
      </c>
      <c r="G138" s="5">
        <f t="shared" ca="1" si="6"/>
        <v>74</v>
      </c>
      <c r="H138" s="3">
        <v>3</v>
      </c>
      <c r="I138" s="3" t="s">
        <v>567</v>
      </c>
      <c r="J138" s="3"/>
      <c r="K138" s="6" t="s">
        <v>23</v>
      </c>
      <c r="L138" s="6" t="s">
        <v>22</v>
      </c>
      <c r="M138" s="6" t="s">
        <v>47</v>
      </c>
      <c r="N138" s="6"/>
      <c r="O138" s="7" t="str">
        <f t="shared" si="7"/>
        <v>Benigno, Reis, Chaudhary</v>
      </c>
      <c r="P138" s="15" t="s">
        <v>34</v>
      </c>
    </row>
    <row r="139" spans="1:16" ht="48" customHeight="1" x14ac:dyDescent="0.2">
      <c r="A139" s="3" t="s">
        <v>283</v>
      </c>
      <c r="B139" s="3" t="s">
        <v>568</v>
      </c>
      <c r="C139" s="3" t="s">
        <v>285</v>
      </c>
      <c r="D139" s="3" t="s">
        <v>44</v>
      </c>
      <c r="E139" s="4">
        <v>46388</v>
      </c>
      <c r="F139" s="4">
        <v>46388</v>
      </c>
      <c r="G139" s="5">
        <f t="shared" ca="1" si="6"/>
        <v>74</v>
      </c>
      <c r="H139" s="3">
        <v>3</v>
      </c>
      <c r="I139" s="3" t="s">
        <v>569</v>
      </c>
      <c r="J139" s="3"/>
      <c r="K139" s="6" t="s">
        <v>23</v>
      </c>
      <c r="L139" s="6" t="s">
        <v>22</v>
      </c>
      <c r="M139" s="6" t="s">
        <v>47</v>
      </c>
      <c r="N139" s="6"/>
      <c r="O139" s="7" t="str">
        <f t="shared" si="7"/>
        <v>Benigno, Reis, Chaudhary</v>
      </c>
      <c r="P139" s="15" t="s">
        <v>27</v>
      </c>
    </row>
    <row r="140" spans="1:16" ht="48" customHeight="1" x14ac:dyDescent="0.2">
      <c r="A140" s="3" t="s">
        <v>570</v>
      </c>
      <c r="B140" s="3" t="s">
        <v>571</v>
      </c>
      <c r="C140" s="3" t="s">
        <v>83</v>
      </c>
      <c r="D140" s="3" t="s">
        <v>18</v>
      </c>
      <c r="E140" s="4">
        <v>46418</v>
      </c>
      <c r="F140" s="4">
        <v>46391</v>
      </c>
      <c r="G140" s="5">
        <f t="shared" ca="1" si="6"/>
        <v>77</v>
      </c>
      <c r="H140" s="3">
        <v>3</v>
      </c>
      <c r="I140" s="3" t="s">
        <v>52</v>
      </c>
      <c r="J140" s="3" t="s">
        <v>572</v>
      </c>
      <c r="K140" s="6" t="s">
        <v>23</v>
      </c>
      <c r="L140" s="6" t="s">
        <v>22</v>
      </c>
      <c r="M140" s="6" t="s">
        <v>26</v>
      </c>
      <c r="N140" s="6"/>
      <c r="O140" s="7" t="str">
        <f t="shared" si="7"/>
        <v>Benigno, Reis, Hofmann</v>
      </c>
      <c r="P140" s="15" t="s">
        <v>27</v>
      </c>
    </row>
    <row r="141" spans="1:16" ht="48" customHeight="1" x14ac:dyDescent="0.2">
      <c r="A141" s="3" t="s">
        <v>573</v>
      </c>
      <c r="B141" s="3" t="s">
        <v>574</v>
      </c>
      <c r="C141" s="3" t="s">
        <v>285</v>
      </c>
      <c r="D141" s="3" t="s">
        <v>38</v>
      </c>
      <c r="E141" s="4">
        <v>46418</v>
      </c>
      <c r="F141" s="4">
        <v>46418</v>
      </c>
      <c r="G141" s="5">
        <f t="shared" ca="1" si="6"/>
        <v>104</v>
      </c>
      <c r="H141" s="3" t="s">
        <v>51</v>
      </c>
      <c r="I141" s="3" t="s">
        <v>575</v>
      </c>
      <c r="J141" s="3"/>
      <c r="K141" s="6" t="s">
        <v>23</v>
      </c>
      <c r="L141" s="6" t="s">
        <v>22</v>
      </c>
      <c r="M141" s="6" t="s">
        <v>26</v>
      </c>
      <c r="N141" s="6"/>
      <c r="O141" s="7" t="str">
        <f t="shared" si="7"/>
        <v>Benigno, Reis, Hofmann</v>
      </c>
      <c r="P141" s="15" t="s">
        <v>27</v>
      </c>
    </row>
    <row r="142" spans="1:16" ht="48" customHeight="1" x14ac:dyDescent="0.2">
      <c r="A142" s="3" t="s">
        <v>576</v>
      </c>
      <c r="B142" s="3" t="s">
        <v>577</v>
      </c>
      <c r="C142" s="3" t="s">
        <v>578</v>
      </c>
      <c r="D142" s="3" t="s">
        <v>18</v>
      </c>
      <c r="E142" s="4">
        <v>46447</v>
      </c>
      <c r="F142" s="4">
        <v>46447</v>
      </c>
      <c r="G142" s="5">
        <f t="shared" ca="1" si="6"/>
        <v>133</v>
      </c>
      <c r="H142" s="3" t="s">
        <v>579</v>
      </c>
      <c r="I142" s="3" t="s">
        <v>580</v>
      </c>
      <c r="J142" s="3" t="s">
        <v>581</v>
      </c>
      <c r="K142" s="6" t="s">
        <v>23</v>
      </c>
      <c r="L142" s="6" t="s">
        <v>22</v>
      </c>
      <c r="M142" s="6" t="s">
        <v>26</v>
      </c>
      <c r="N142" s="6"/>
      <c r="O142" s="7" t="str">
        <f t="shared" si="7"/>
        <v>Benigno, Reis, Hofmann</v>
      </c>
      <c r="P142" s="15" t="s">
        <v>34</v>
      </c>
    </row>
    <row r="143" spans="1:16" ht="48" customHeight="1" x14ac:dyDescent="0.2">
      <c r="A143" s="3" t="s">
        <v>582</v>
      </c>
      <c r="B143" s="3" t="s">
        <v>583</v>
      </c>
      <c r="C143" s="3" t="s">
        <v>285</v>
      </c>
      <c r="D143" s="3" t="s">
        <v>31</v>
      </c>
      <c r="E143" s="4">
        <v>46477</v>
      </c>
      <c r="F143" s="4"/>
      <c r="G143" s="5">
        <f t="shared" ca="1" si="6"/>
        <v>163</v>
      </c>
      <c r="H143" s="3" t="s">
        <v>584</v>
      </c>
      <c r="I143" s="3" t="s">
        <v>585</v>
      </c>
      <c r="J143" s="3" t="s">
        <v>586</v>
      </c>
      <c r="K143" s="6" t="s">
        <v>23</v>
      </c>
      <c r="L143" s="6" t="s">
        <v>22</v>
      </c>
      <c r="M143" s="6"/>
      <c r="N143" s="6"/>
      <c r="O143" s="7" t="str">
        <f t="shared" si="7"/>
        <v>Benigno, Reis</v>
      </c>
      <c r="P143" s="15" t="s">
        <v>24</v>
      </c>
    </row>
    <row r="144" spans="1:16" ht="48" customHeight="1" x14ac:dyDescent="0.2">
      <c r="A144" s="3" t="s">
        <v>582</v>
      </c>
      <c r="B144" s="3" t="s">
        <v>587</v>
      </c>
      <c r="C144" s="3" t="s">
        <v>285</v>
      </c>
      <c r="D144" s="3" t="s">
        <v>44</v>
      </c>
      <c r="E144" s="4">
        <v>46477</v>
      </c>
      <c r="F144" s="4"/>
      <c r="G144" s="5">
        <f t="shared" ca="1" si="6"/>
        <v>163</v>
      </c>
      <c r="H144" s="3" t="s">
        <v>588</v>
      </c>
      <c r="I144" s="3" t="s">
        <v>589</v>
      </c>
      <c r="J144" s="3" t="s">
        <v>590</v>
      </c>
      <c r="K144" s="6" t="s">
        <v>23</v>
      </c>
      <c r="L144" s="6" t="s">
        <v>22</v>
      </c>
      <c r="M144" s="6"/>
      <c r="N144" s="6"/>
      <c r="O144" s="7" t="str">
        <f t="shared" si="7"/>
        <v>Benigno, Reis</v>
      </c>
      <c r="P144" s="15" t="s">
        <v>24</v>
      </c>
    </row>
    <row r="145" spans="1:16" ht="48" customHeight="1" x14ac:dyDescent="0.2">
      <c r="A145" s="3" t="s">
        <v>591</v>
      </c>
      <c r="B145" s="3" t="s">
        <v>78</v>
      </c>
      <c r="C145" s="3" t="s">
        <v>285</v>
      </c>
      <c r="D145" s="3" t="s">
        <v>31</v>
      </c>
      <c r="E145" s="4">
        <v>46568</v>
      </c>
      <c r="F145" s="4">
        <v>46568</v>
      </c>
      <c r="G145" s="5">
        <f t="shared" ca="1" si="6"/>
        <v>254</v>
      </c>
      <c r="H145" s="3">
        <v>3</v>
      </c>
      <c r="I145" s="3" t="s">
        <v>592</v>
      </c>
      <c r="J145" s="3" t="s">
        <v>593</v>
      </c>
      <c r="K145" s="6" t="s">
        <v>23</v>
      </c>
      <c r="L145" s="6" t="s">
        <v>22</v>
      </c>
      <c r="M145" s="6" t="s">
        <v>26</v>
      </c>
      <c r="N145" s="6"/>
      <c r="O145" s="7" t="str">
        <f t="shared" si="7"/>
        <v>Benigno, Reis, Hofmann</v>
      </c>
      <c r="P145" s="15" t="s">
        <v>27</v>
      </c>
    </row>
  </sheetData>
  <autoFilter ref="A4:P145" xr:uid="{00000000-0009-0000-0000-000000000000}"/>
  <mergeCells count="1">
    <mergeCell ref="A2:Q2"/>
  </mergeCells>
  <conditionalFormatting sqref="G5:G145">
    <cfRule type="expression" dxfId="1" priority="2">
      <formula>AND(ISNUMBER(G5),G5&lt;=14,G5&gt;=0)</formula>
    </cfRule>
    <cfRule type="expression" dxfId="0" priority="3">
      <formula>AND(ISNUMBER(G5),G5&lt;0)</formula>
    </cfRule>
  </conditionalFormatting>
  <dataValidations count="2">
    <dataValidation type="list" allowBlank="1" sqref="P5:P145" xr:uid="{00000000-0002-0000-0000-000001000000}">
      <formula1>"On platform – check attached,Referee action needed,Names only,Not needed yet,Uploaded / sent,Application dropped"</formula1>
      <formula2>0</formula2>
    </dataValidation>
    <dataValidation type="list" allowBlank="1" sqref="K5:N145" xr:uid="{00000000-0002-0000-0000-000000000000}">
      <formula1>"Reis,Benigno,Hofmann,Chaudhary"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8"/>
  <sheetViews>
    <sheetView zoomScaleNormal="100" workbookViewId="0">
      <selection activeCell="B23" sqref="B23"/>
    </sheetView>
  </sheetViews>
  <sheetFormatPr baseColWidth="10" defaultColWidth="8.6640625" defaultRowHeight="15" x14ac:dyDescent="0.2"/>
  <cols>
    <col min="1" max="2" width="14" customWidth="1"/>
    <col min="3" max="3" width="18" customWidth="1"/>
    <col min="4" max="9" width="10" customWidth="1"/>
    <col min="10" max="11" width="14" customWidth="1"/>
    <col min="12" max="12" width="16" customWidth="1"/>
    <col min="13" max="13" width="14" customWidth="1"/>
  </cols>
  <sheetData>
    <row r="1" spans="1:13" ht="17" x14ac:dyDescent="0.2">
      <c r="A1" s="8" t="s">
        <v>594</v>
      </c>
    </row>
    <row r="2" spans="1:13" ht="30" customHeight="1" x14ac:dyDescent="0.2">
      <c r="A2" s="12" t="s">
        <v>595</v>
      </c>
      <c r="B2" s="12"/>
      <c r="C2" s="12"/>
      <c r="D2" s="12"/>
      <c r="E2" s="12"/>
      <c r="F2" s="12"/>
      <c r="G2" s="12"/>
      <c r="H2" s="12"/>
      <c r="I2" s="12"/>
    </row>
    <row r="4" spans="1:13" ht="43.5" customHeight="1" x14ac:dyDescent="0.2">
      <c r="A4" s="2" t="s">
        <v>596</v>
      </c>
      <c r="B4" s="2" t="s">
        <v>597</v>
      </c>
      <c r="C4" s="2" t="s">
        <v>598</v>
      </c>
      <c r="D4" s="2" t="s">
        <v>599</v>
      </c>
      <c r="E4" s="2" t="s">
        <v>600</v>
      </c>
      <c r="F4" s="2" t="s">
        <v>601</v>
      </c>
      <c r="G4" s="2" t="s">
        <v>602</v>
      </c>
      <c r="H4" s="2" t="s">
        <v>603</v>
      </c>
      <c r="I4" s="2" t="s">
        <v>604</v>
      </c>
      <c r="J4" s="2" t="s">
        <v>605</v>
      </c>
      <c r="K4" s="2" t="s">
        <v>606</v>
      </c>
      <c r="L4" s="2" t="s">
        <v>607</v>
      </c>
      <c r="M4" s="2" t="s">
        <v>608</v>
      </c>
    </row>
    <row r="5" spans="1:13" x14ac:dyDescent="0.2">
      <c r="A5" s="9" t="s">
        <v>23</v>
      </c>
      <c r="B5" s="10">
        <f>COUNTIF(Applications!$K$5:$K$145,"*Benigno*")</f>
        <v>141</v>
      </c>
      <c r="C5" s="4">
        <f ca="1">IF(COUNTIFS(Applications!$O$5:$O$145,"*Benigno*",Applications!$F$5:$F$145,"&gt;="&amp;TODAY())=0,"",_xlfn.MINIFS(Applications!$F$5:$F$145,Applications!$O$5:$O$145,"*Reis*",Applications!$F$5:$F$145,"&gt;="&amp;TODAY()))</f>
        <v>46325</v>
      </c>
      <c r="D5" s="10">
        <f>COUNTIFS(Applications!$O$5:$O$145,"*Benigno*",Applications!$F$5:$F$145,"&lt;="&amp;DATE(2026,10,31))</f>
        <v>2</v>
      </c>
      <c r="E5" s="10">
        <f>COUNTIFS(Applications!$O$5:$O$145,"*Benigno*",Applications!$F$5:$F$145,"&gt;="&amp;DATE(2026,11,1),Applications!$F$5:$F$145,"&lt;="&amp;DATE(2026,11,8))</f>
        <v>14</v>
      </c>
      <c r="F5" s="10">
        <f>COUNTIFS(Applications!$O$5:$O$145,"*Benigno*",Applications!$F$5:$F$145,"&gt;="&amp;DATE(2026,11,9),Applications!$F$5:$F$145,"&lt;="&amp;DATE(2026,11,16))</f>
        <v>56</v>
      </c>
      <c r="G5" s="10">
        <f>COUNTIFS(Applications!$O$5:$O$145,"*Benigno*",Applications!$F$5:$F$145,"&gt;="&amp;DATE(2026,11,17),Applications!$F$5:$F$145,"&lt;="&amp;DATE(2026,11,30))</f>
        <v>37</v>
      </c>
      <c r="H5" s="10">
        <f>COUNTIFS(Applications!$O$5:$O$145,"*Benigno*",Applications!$F$5:$F$145,"&gt;="&amp;DATE(2026,12,1),Applications!$F$5:$F$145,"&lt;="&amp;DATE(2026,12,31))</f>
        <v>17</v>
      </c>
      <c r="I5" s="10">
        <f>COUNTIFS(Applications!$O$5:$O$145,"*Benigno*",Applications!$F$5:$F$145,"&gt;="&amp;DATE(2027,1,1))</f>
        <v>6</v>
      </c>
      <c r="J5" s="10">
        <f>COUNTIFS(Applications!$O$5:$O$145,"*Benigno*",Applications!$I$5:$I$145,"*EconJobMarket*")+COUNTIFS(Applications!$O$5:$O$145,"*Benigno*",Applications!$I$5:$I$145,"*JOE*")</f>
        <v>85</v>
      </c>
      <c r="K5" s="10">
        <f>COUNTIFS(Applications!$O$5:$O$145,"*Benigno*",Applications!$I$5:$I$145,"*Interfolio*")+COUNTIFS(Applications!$O$5:$O$145,"*Benigno*",Applications!$I$5:$I$145,"*AcademicJobsOnline*")</f>
        <v>24</v>
      </c>
      <c r="L5" s="10">
        <f>B5-J5-K5</f>
        <v>32</v>
      </c>
      <c r="M5" s="10">
        <f>COUNTIFS(Applications!$O$5:$O$145,"*Benigno*",Applications!$P$5:$P$145,"Referee action needed")</f>
        <v>28</v>
      </c>
    </row>
    <row r="6" spans="1:13" x14ac:dyDescent="0.2">
      <c r="A6" s="9" t="s">
        <v>22</v>
      </c>
      <c r="B6" s="10">
        <f>COUNTIF(Applications!$O$5:$O$145,"*Reis*")</f>
        <v>139</v>
      </c>
      <c r="C6" s="4">
        <f ca="1">IF(COUNTIFS(Applications!$O$5:$O$145,"*Reis*",Applications!$F$5:$F$145,"&gt;="&amp;TODAY())=0,"",_xlfn.MINIFS(Applications!$F$5:$F$145,Applications!$O$5:$O$145,"*Reis*",Applications!$F$5:$F$145,"&gt;="&amp;TODAY()))</f>
        <v>46325</v>
      </c>
      <c r="D6" s="10">
        <f>COUNTIFS(Applications!$O$5:$O$145,"*Reis*",Applications!$F$5:$F$145,"&lt;="&amp;DATE(2026,10,31))</f>
        <v>2</v>
      </c>
      <c r="E6" s="10">
        <f>COUNTIFS(Applications!$O$5:$O$145,"*Reis*",Applications!$F$5:$F$145,"&gt;="&amp;DATE(2026,11,1),Applications!$F$5:$F$145,"&lt;="&amp;DATE(2026,11,8))</f>
        <v>14</v>
      </c>
      <c r="F6" s="10">
        <f>COUNTIFS(Applications!$O$5:$O$145,"*Reis*",Applications!$F$5:$F$145,"&gt;="&amp;DATE(2026,11,9),Applications!$F$5:$F$145,"&lt;="&amp;DATE(2026,11,16))</f>
        <v>56</v>
      </c>
      <c r="G6" s="10">
        <f>COUNTIFS(Applications!$O$5:$O$145,"*Reis*",Applications!$F$5:$F$145,"&gt;="&amp;DATE(2026,11,17),Applications!$F$5:$F$145,"&lt;="&amp;DATE(2026,11,30))</f>
        <v>37</v>
      </c>
      <c r="H6" s="10">
        <f>COUNTIFS(Applications!$O$5:$O$145,"*Reis*",Applications!$F$5:$F$145,"&gt;="&amp;DATE(2026,12,1),Applications!$F$5:$F$145,"&lt;="&amp;DATE(2026,12,31))</f>
        <v>15</v>
      </c>
      <c r="I6" s="10">
        <f>COUNTIFS(Applications!$O$5:$O$145,"*Reis*",Applications!$F$5:$F$145,"&gt;="&amp;DATE(2027,1,1))</f>
        <v>6</v>
      </c>
      <c r="J6" s="10">
        <f>COUNTIFS(Applications!$O$5:$O$145,"*Reis*",Applications!$I$5:$I$145,"*EconJobMarket*")+COUNTIFS(Applications!$O$5:$O$145,"*Reis*",Applications!$I$5:$I$145,"*JOE*")</f>
        <v>85</v>
      </c>
      <c r="K6" s="10">
        <f>COUNTIFS(Applications!$O$5:$O$145,"*Reis*",Applications!$I$5:$I$145,"*Interfolio*")+COUNTIFS(Applications!$O$5:$O$145,"*Reis*",Applications!$I$5:$I$145,"*AcademicJobsOnline*")</f>
        <v>24</v>
      </c>
      <c r="L6" s="10">
        <f>B6-J6-K6</f>
        <v>30</v>
      </c>
      <c r="M6" s="10">
        <f>COUNTIFS(Applications!$O$5:$O$145,"*Reis*",Applications!$P$5:$P$145,"Referee action needed")</f>
        <v>26</v>
      </c>
    </row>
    <row r="7" spans="1:13" x14ac:dyDescent="0.2">
      <c r="A7" s="9" t="s">
        <v>26</v>
      </c>
      <c r="B7" s="10">
        <f>COUNTIF(Applications!$O$5:$O$145,"*Hofmann*")</f>
        <v>88</v>
      </c>
      <c r="C7" s="4">
        <f ca="1">IF(COUNTIFS(Applications!$O$5:$O$145,"*Hofmann*",Applications!$F$5:$F$145,"&gt;="&amp;TODAY())=0,"",_xlfn.MINIFS(Applications!$F$5:$F$145,Applications!$O$5:$O$145,"*Hofmann*",Applications!$F$5:$F$145,"&gt;="&amp;TODAY()))</f>
        <v>46327</v>
      </c>
      <c r="D7" s="10">
        <f>COUNTIFS(Applications!$O$5:$O$145,"*Hofmann*",Applications!$F$5:$F$145,"&lt;="&amp;DATE(2026,10,31))</f>
        <v>0</v>
      </c>
      <c r="E7" s="10">
        <f>COUNTIFS(Applications!$O$5:$O$145,"*Hofmann*",Applications!$F$5:$F$145,"&gt;="&amp;DATE(2026,11,1),Applications!$F$5:$F$145,"&lt;="&amp;DATE(2026,11,8))</f>
        <v>12</v>
      </c>
      <c r="F7" s="10">
        <f>COUNTIFS(Applications!$O$5:$O$145,"*Hofmann*",Applications!$F$5:$F$145,"&gt;="&amp;DATE(2026,11,9),Applications!$F$5:$F$145,"&lt;="&amp;DATE(2026,11,16))</f>
        <v>39</v>
      </c>
      <c r="G7" s="10">
        <f>COUNTIFS(Applications!$O$5:$O$145,"*Hofmann*",Applications!$F$5:$F$145,"&gt;="&amp;DATE(2026,11,17),Applications!$F$5:$F$145,"&lt;="&amp;DATE(2026,11,30))</f>
        <v>19</v>
      </c>
      <c r="H7" s="10">
        <f>COUNTIFS(Applications!$O$5:$O$145,"*Hofmann*",Applications!$F$5:$F$145,"&gt;="&amp;DATE(2026,12,1),Applications!$F$5:$F$145,"&lt;="&amp;DATE(2026,12,31))</f>
        <v>12</v>
      </c>
      <c r="I7" s="10">
        <f>COUNTIFS(Applications!$O$5:$O$145,"*Hofmann*",Applications!$F$5:$F$145,"&gt;="&amp;DATE(2027,1,1))</f>
        <v>4</v>
      </c>
      <c r="J7" s="10">
        <f>COUNTIFS(Applications!$O$5:$O$145,"*Hofmann*",Applications!$I$5:$I$145,"*EconJobMarket*")+COUNTIFS(Applications!$O$5:$O$145,"*Hofmann*",Applications!$I$5:$I$145,"*JOE*")</f>
        <v>65</v>
      </c>
      <c r="K7" s="10">
        <f>COUNTIFS(Applications!$O$5:$O$145,"*Hofmann*",Applications!$I$5:$I$145,"*Interfolio*")+COUNTIFS(Applications!$O$5:$O$145,"*Hofmann*",Applications!$I$5:$I$145,"*AcademicJobsOnline*")</f>
        <v>14</v>
      </c>
      <c r="L7" s="10">
        <f>B7-J7-K7</f>
        <v>9</v>
      </c>
      <c r="M7" s="10">
        <f>COUNTIFS(Applications!$O$5:$O$145,"*Hofmann*",Applications!$P$5:$P$145,"Referee action needed")</f>
        <v>10</v>
      </c>
    </row>
    <row r="8" spans="1:13" x14ac:dyDescent="0.2">
      <c r="A8" s="9" t="s">
        <v>47</v>
      </c>
      <c r="B8" s="10">
        <f>COUNTIF(Applications!$O$5:$O$145,"*Chaudhary*")</f>
        <v>38</v>
      </c>
      <c r="C8" s="4">
        <f ca="1">IF(COUNTIFS(Applications!$O$5:$O$145,"*Chaudhary*",Applications!$F$5:$F$145,"&gt;="&amp;TODAY())=0,"",_xlfn.MINIFS(Applications!$F$5:$F$145,Applications!$O$5:$O$145,"*Chaudhary*",Applications!$F$5:$F$145,"&gt;="&amp;TODAY()))</f>
        <v>46327</v>
      </c>
      <c r="D8" s="10">
        <f>COUNTIFS(Applications!$O$5:$O$145,"*Chaudhary*",Applications!$F$5:$F$145,"&lt;="&amp;DATE(2026,10,31))</f>
        <v>0</v>
      </c>
      <c r="E8" s="10">
        <f>COUNTIFS(Applications!$O$5:$O$145,"*Chaudhary*",Applications!$F$5:$F$145,"&gt;="&amp;DATE(2026,11,1),Applications!$F$5:$F$145,"&lt;="&amp;DATE(2026,11,8))</f>
        <v>1</v>
      </c>
      <c r="F8" s="10">
        <f>COUNTIFS(Applications!$O$5:$O$145,"*Chaudhary*",Applications!$F$5:$F$145,"&gt;="&amp;DATE(2026,11,9),Applications!$F$5:$F$145,"&lt;="&amp;DATE(2026,11,16))</f>
        <v>15</v>
      </c>
      <c r="G8" s="10">
        <f>COUNTIFS(Applications!$O$5:$O$145,"*Chaudhary*",Applications!$F$5:$F$145,"&gt;="&amp;DATE(2026,11,17),Applications!$F$5:$F$145,"&lt;="&amp;DATE(2026,11,30))</f>
        <v>15</v>
      </c>
      <c r="H8" s="10">
        <f>COUNTIFS(Applications!$O$5:$O$145,"*Chaudhary*",Applications!$F$5:$F$145,"&gt;="&amp;DATE(2026,12,1),Applications!$F$5:$F$145,"&lt;="&amp;DATE(2026,12,31))</f>
        <v>1</v>
      </c>
      <c r="I8" s="10">
        <f>COUNTIFS(Applications!$O$5:$O$145,"*Chaudhary*",Applications!$F$5:$F$145,"&gt;="&amp;DATE(2027,1,1))</f>
        <v>2</v>
      </c>
      <c r="J8" s="10">
        <f>COUNTIFS(Applications!$O$5:$O$145,"*Chaudhary*",Applications!$I$5:$I$145,"*EconJobMarket*")+COUNTIFS(Applications!$O$5:$O$145,"*Chaudhary*",Applications!$I$5:$I$145,"*JOE*")</f>
        <v>15</v>
      </c>
      <c r="K8" s="10">
        <f>COUNTIFS(Applications!$O$5:$O$145,"*Chaudhary*",Applications!$I$5:$I$145,"*Interfolio*")+COUNTIFS(Applications!$O$5:$O$145,"*Chaudhary*",Applications!$I$5:$I$145,"*AcademicJobsOnline*")</f>
        <v>8</v>
      </c>
      <c r="L8" s="10">
        <f>B8-J8-K8</f>
        <v>15</v>
      </c>
      <c r="M8" s="10">
        <f>COUNTIFS(Applications!$O$5:$O$145,"*Chaudhary*",Applications!$P$5:$P$145,"Referee action needed")</f>
        <v>11</v>
      </c>
    </row>
  </sheetData>
  <mergeCells count="1">
    <mergeCell ref="A2:I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Applications</vt:lpstr>
      <vt:lpstr>By referee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Arcidiacono, Cristian (VWI)</cp:lastModifiedBy>
  <cp:revision>0</cp:revision>
  <dcterms:created xsi:type="dcterms:W3CDTF">2026-10-19T10:41:02Z</dcterms:created>
  <dcterms:modified xsi:type="dcterms:W3CDTF">2026-10-19T14:38:54Z</dcterms:modified>
  <dc:language>en-US</dc:language>
</cp:coreProperties>
</file>